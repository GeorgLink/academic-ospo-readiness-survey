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to use" sheetId="1" state="visible" r:id="rId1"/>
    <sheet xmlns:r="http://schemas.openxmlformats.org/officeDocument/2006/relationships" name="Data (paste export here)" sheetId="2" state="visible" r:id="rId2"/>
    <sheet xmlns:r="http://schemas.openxmlformats.org/officeDocument/2006/relationships" name="Item results (auto)" sheetId="3" state="visible" r:id="rId3"/>
    <sheet xmlns:r="http://schemas.openxmlformats.org/officeDocument/2006/relationships" name="Service summary" sheetId="4" state="visible" r:id="rId4"/>
    <sheet xmlns:r="http://schemas.openxmlformats.org/officeDocument/2006/relationships" name="Level summary" sheetId="5" state="visible" r:id="rId5"/>
    <sheet xmlns:r="http://schemas.openxmlformats.org/officeDocument/2006/relationships" name="Write-ins" sheetId="6" state="visible" r:id="rId6"/>
    <sheet xmlns:r="http://schemas.openxmlformats.org/officeDocument/2006/relationships" name="Respondents" sheetId="7" state="visible" r:id="rId7"/>
    <sheet xmlns:r="http://schemas.openxmlformats.org/officeDocument/2006/relationships" name="Importance" sheetId="8" state="visible" r:id="rId8"/>
    <sheet xmlns:r="http://schemas.openxmlformats.org/officeDocument/2006/relationships" name="Maturity by area" sheetId="9" state="visible" r:id="rId9"/>
    <sheet xmlns:r="http://schemas.openxmlformats.org/officeDocument/2006/relationships" name="Experience &amp; role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6"/>
    </font>
    <font>
      <name val="Arial"/>
      <charset val="1"/>
      <family val="0"/>
      <color rgb="FF000000"/>
      <sz val="11"/>
    </font>
    <font>
      <name val="Arial"/>
      <charset val="1"/>
      <family val="0"/>
      <b val="1"/>
      <color rgb="FF000000"/>
      <sz val="11"/>
    </font>
    <font>
      <name val="Arial"/>
      <charset val="1"/>
      <family val="0"/>
      <b val="1"/>
      <color rgb="FF1F4E78"/>
      <sz val="13"/>
    </font>
    <font>
      <name val="Arial"/>
      <charset val="1"/>
      <family val="0"/>
      <color rgb="FF808080"/>
      <sz val="10"/>
    </font>
    <font>
      <name val="Arial"/>
      <charset val="1"/>
      <family val="0"/>
      <color rgb="FF808080"/>
      <sz val="9"/>
    </font>
    <font>
      <name val="Arial"/>
      <charset val="1"/>
      <family val="0"/>
      <i val="1"/>
      <color rgb="FF808080"/>
      <sz val="10"/>
    </font>
    <font>
      <name val="Arial"/>
      <charset val="1"/>
      <family val="0"/>
      <b val="1"/>
      <color rgb="FFFFFFFF"/>
      <sz val="11"/>
    </font>
    <font>
      <name val="Arial"/>
      <charset val="1"/>
      <family val="0"/>
      <sz val="10"/>
    </font>
    <font>
      <name val="Arial"/>
      <charset val="1"/>
      <family val="0"/>
      <b val="1"/>
      <color rgb="FF1F4E78"/>
      <sz val="14"/>
    </font>
    <font>
      <name val="Arial"/>
      <charset val="1"/>
      <family val="0"/>
      <i val="1"/>
      <color rgb="FF808080"/>
      <sz val="9"/>
    </font>
    <font>
      <name val="Arial"/>
      <charset val="1"/>
      <family val="0"/>
      <b val="1"/>
      <color rgb="FF1F4E78"/>
      <sz val="11"/>
    </font>
  </fonts>
  <fills count="4">
    <fill>
      <patternFill/>
    </fill>
    <fill>
      <patternFill patternType="gray125"/>
    </fill>
    <fill>
      <patternFill patternType="solid">
        <fgColor rgb="FF1F4E78"/>
        <bgColor rgb="FF003366"/>
      </patternFill>
    </fill>
    <fill>
      <patternFill patternType="solid">
        <fgColor rgb="FFE2EFDA"/>
        <bgColor rgb="FFFFFF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center" wrapText="1"/>
    </xf>
    <xf numFmtId="0" fontId="12" fillId="0" borderId="1" applyAlignment="1" pivotButton="0" quotePrefix="0" xfId="0">
      <alignment horizontal="center" vertical="bottom"/>
    </xf>
    <xf numFmtId="0" fontId="12" fillId="0" borderId="1" applyAlignment="1" pivotButton="0" quotePrefix="0" xfId="0">
      <alignment horizontal="general" vertical="bottom"/>
    </xf>
    <xf numFmtId="1" fontId="12" fillId="3" borderId="1" applyAlignment="1" pivotButton="0" quotePrefix="0" xfId="0">
      <alignment horizontal="center" vertical="bottom"/>
    </xf>
    <xf numFmtId="1" fontId="12" fillId="0" borderId="1" applyAlignment="1" pivotButton="0" quotePrefix="0" xfId="0">
      <alignment horizontal="center"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2" fillId="0" borderId="1" applyAlignment="1" pivotButton="0" quotePrefix="0" xfId="0">
      <alignment horizontal="general" vertical="top"/>
    </xf>
    <xf numFmtId="0" fontId="12" fillId="0" borderId="1" applyAlignment="1" pivotButton="0" quotePrefix="0" xfId="0">
      <alignment horizontal="center" vertical="top"/>
    </xf>
    <xf numFmtId="0" fontId="12" fillId="0" borderId="1" applyAlignment="1" pivotButton="0" quotePrefix="0" xfId="0">
      <alignment horizontal="general" vertical="top" wrapText="1"/>
    </xf>
    <xf numFmtId="0" fontId="1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center" wrapText="1"/>
    </xf>
    <xf numFmtId="0" fontId="12" fillId="0" borderId="1" applyAlignment="1" pivotButton="0" quotePrefix="0" xfId="0">
      <alignment horizontal="center" vertical="bottom"/>
    </xf>
    <xf numFmtId="0" fontId="12" fillId="0" borderId="1" applyAlignment="1" pivotButton="0" quotePrefix="0" xfId="0">
      <alignment horizontal="general" vertical="bottom"/>
    </xf>
    <xf numFmtId="1" fontId="12" fillId="3" borderId="1" applyAlignment="1" pivotButton="0" quotePrefix="0" xfId="0">
      <alignment horizontal="center" vertical="bottom"/>
    </xf>
    <xf numFmtId="1" fontId="12" fillId="0" borderId="1" applyAlignment="1" pivotButton="0" quotePrefix="0" xfId="0">
      <alignment horizontal="center"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2" fillId="0" borderId="1" applyAlignment="1" pivotButton="0" quotePrefix="0" xfId="0">
      <alignment horizontal="general" vertical="top"/>
    </xf>
    <xf numFmtId="0" fontId="12" fillId="0" borderId="1" applyAlignment="1" pivotButton="0" quotePrefix="0" xfId="0">
      <alignment horizontal="center" vertical="top"/>
    </xf>
    <xf numFmtId="0" fontId="12" fillId="0" borderId="1" applyAlignment="1" pivotButton="0" quotePrefix="0" xfId="0">
      <alignment horizontal="general" vertical="top" wrapText="1"/>
    </xf>
    <xf numFmtId="0" fontId="15" fillId="0" borderId="0" applyAlignment="1" pivotButton="0" quotePrefix="0" xfId="0">
      <alignment horizontal="general" vertical="bottom"/>
    </xf>
    <xf numFmtId="0" fontId="12" fillId="0" borderId="1" applyAlignment="1" pivotButton="0" quotePrefix="0" xfId="0">
      <alignment horizontal="general" vertical="bottom"/>
    </xf>
    <xf numFmtId="0" fontId="12" fillId="0" borderId="1"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00" customWidth="1" style="20" min="1" max="1"/>
  </cols>
  <sheetData>
    <row r="1" ht="19.5" customHeight="1" s="21">
      <c r="A1" s="22" t="inlineStr">
        <is>
          <t>Manual analysis helper (auto-import) — Academic OSPO Readiness Survey</t>
        </is>
      </c>
    </row>
    <row r="2" ht="15" customHeight="1" s="21">
      <c r="A2" s="23" t="n"/>
    </row>
    <row r="3" ht="15" customHeight="1" s="21">
      <c r="A3" s="24" t="inlineStr">
        <is>
          <t>Paste your LimeSurvey responses export once; the analysis fills in. No typing numbers.</t>
        </is>
      </c>
    </row>
    <row r="4" ht="15" customHeight="1" s="21">
      <c r="A4" s="23" t="n"/>
    </row>
    <row r="5" ht="15.75" customHeight="1" s="21">
      <c r="A5" s="25" t="inlineStr">
        <is>
          <t>Steps</t>
        </is>
      </c>
    </row>
    <row r="6" ht="15" customHeight="1" s="21">
      <c r="A6" s="23" t="inlineStr">
        <is>
          <t>1. In LimeSurvey: Results &gt; Export results. Format = Excel; Headings = 'Question code &amp; question</t>
        </is>
      </c>
    </row>
    <row r="7" ht="15" customHeight="1" s="21">
      <c r="A7" s="23" t="inlineStr">
        <is>
          <t xml:space="preserve">   text'; Strip HTML = On; Completion state = All responses; Responses = Full answers.</t>
        </is>
      </c>
    </row>
    <row r="8" ht="15" customHeight="1" s="21">
      <c r="A8" s="26" t="inlineStr">
        <is>
          <t xml:space="preserve">   (The sheet automatically counts only completed responses for the percentages.)</t>
        </is>
      </c>
    </row>
    <row r="9" ht="15" customHeight="1" s="21">
      <c r="A9" s="23" t="inlineStr">
        <is>
          <t>2. Open that export, select all (Ctrl+A), copy (Ctrl+C).</t>
        </is>
      </c>
    </row>
    <row r="10" ht="15" customHeight="1" s="21">
      <c r="A10" s="23" t="inlineStr">
        <is>
          <t>3. On the 'Data (paste export here)' tab: select all (Ctrl+A), Delete, click A1, paste (Ctrl+V).</t>
        </is>
      </c>
    </row>
    <row r="11" ht="15" customHeight="1" s="21">
      <c r="A11" s="23" t="inlineStr">
        <is>
          <t>4. Read 'Service summary' and 'Level summary'. (Recalc with Ctrl+Shift+F9 if needed.)</t>
        </is>
      </c>
    </row>
    <row r="12" ht="15" customHeight="1" s="21">
      <c r="A12" s="23" t="n"/>
    </row>
    <row r="13" ht="15.75" customHeight="1" s="21">
      <c r="A13" s="25" t="inlineStr">
        <is>
          <t>Check it worked</t>
        </is>
      </c>
    </row>
    <row r="14" ht="15" customHeight="1" s="21">
      <c r="A14" s="23" t="inlineStr">
        <is>
          <t>On 'Item results (auto)', the 'Check' column shows ✓ when an item's expected wording is found</t>
        </is>
      </c>
    </row>
    <row r="15" ht="15" customHeight="1" s="21">
      <c r="A15" s="23" t="inlineStr">
        <is>
          <t>in your pasted export. An ✗ means the wording was edited (or the column is missing): the result may</t>
        </is>
      </c>
    </row>
    <row r="16" ht="15" customHeight="1" s="21">
      <c r="A16" s="23" t="inlineStr">
        <is>
          <t>still calculate correctly, but depending on the edit the insight may differ from what was intended. See instructions/40-interpret.md.</t>
        </is>
      </c>
    </row>
    <row r="17" ht="15" customHeight="1" s="21">
      <c r="A17" s="23" t="n"/>
    </row>
    <row r="18" ht="15" customHeight="1" s="21">
      <c r="A18" s="26" t="inlineStr">
        <is>
          <t>This tab ships with DEMO responses so you can see it working. Overwrite them in step 3.</t>
        </is>
      </c>
    </row>
    <row r="20" ht="15" customHeight="1" s="21">
      <c r="A20" s="27" t="inlineStr">
        <is>
          <t>Tabs: Service summary · Level summary · Maturity by area · Respondents · Importance · Experience &amp; roles · Write-ins · Item results (auto).</t>
        </is>
      </c>
    </row>
    <row r="22" ht="15" customHeight="1" s="21">
      <c r="A22" s="28" t="inlineStr">
        <is>
          <t>This sheet uses fully completed responses only. For a richer view that also uses partial responses (e.g. people who answered the first parts and stopped), use the notebook.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I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sheetData>
    <row r="1" ht="15" customHeight="1" s="21">
      <c r="A1" s="20" t="inlineStr">
        <is>
          <t>id. Response ID</t>
        </is>
      </c>
      <c r="B1" s="20" t="inlineStr">
        <is>
          <t>submitdate. Date submitted</t>
        </is>
      </c>
      <c r="C1" s="20" t="inlineStr">
        <is>
          <t>lastpage. Last page</t>
        </is>
      </c>
      <c r="D1" s="20" t="inlineStr">
        <is>
          <t>startlanguage. Start language</t>
        </is>
      </c>
      <c r="E1" s="20" t="inlineStr">
        <is>
          <t>seed. Seed</t>
        </is>
      </c>
      <c r="F1" s="20" t="inlineStr">
        <is>
          <t>Q10. What is your role at Example University?</t>
        </is>
      </c>
      <c r="G1" s="20" t="inlineStr">
        <is>
          <t>Q10[comment]. What is your role at Example University? [Comment]</t>
        </is>
      </c>
      <c r="H1" s="20" t="inlineStr">
        <is>
          <t>Q20. How important is open source to Example University's mission?</t>
        </is>
      </c>
      <c r="I1" s="20" t="inlineStr">
        <is>
          <t>Q21[SQ001]. Why is open source important to your work? [Reduces vendor lock-in]</t>
        </is>
      </c>
      <c r="J1" s="20" t="inlineStr">
        <is>
          <t>Q21[SQ002]. Why is open source important to your work? [Lowers costs]</t>
        </is>
      </c>
      <c r="K1" s="20" t="inlineStr">
        <is>
          <t>Q21[SQ003]. Why is open source important to your work? [Enables collaboration across the research and education community]</t>
        </is>
      </c>
      <c r="L1" s="20" t="inlineStr">
        <is>
          <t>Q21[SQ004]. Why is open source important to your work? [Supports transparency and trust]</t>
        </is>
      </c>
      <c r="M1" s="20" t="inlineStr">
        <is>
          <t>Q21[SQ005]. Why is open source important to your work? [Accelerates innovation]</t>
        </is>
      </c>
      <c r="N1" s="20" t="inlineStr">
        <is>
          <t>Q21[SQ006]. Why is open source important to your work? [Fulfils funder or regulatory requirements]</t>
        </is>
      </c>
      <c r="O1" s="20" t="inlineStr">
        <is>
          <t>Q21[SQ007]. Why is open source important to your work? [Aligns with digital-sovereignty or institutional-autonomy goals]</t>
        </is>
      </c>
      <c r="P1" s="20" t="inlineStr">
        <is>
          <t>Q21[SQ008]. Why is open source important to your work? [None — open source is not important to my work]</t>
        </is>
      </c>
      <c r="Q1" s="20" t="inlineStr">
        <is>
          <t>Q21[other]. Why is open source important to your work? [Other]</t>
        </is>
      </c>
      <c r="R1" s="20" t="inlineStr">
        <is>
          <t>Q22. How confident are you in your knowledge of open source practices relevant to your role?</t>
        </is>
      </c>
      <c r="S1" s="20" t="inlineStr">
        <is>
          <t>INTRO3. Over the next several pages we ask what Example University already does with open source: its policies, security, contributions, and similar work. Each page covers one topic.Answer from your own knowledge. Tick what you know is already in place, and if you haven't heard of something, leave it unticked instead of guessing. Not knowing is a fine answer.</t>
        </is>
      </c>
      <c r="T1" s="20" t="inlineStr">
        <is>
          <t>Q300[SQ001]. Tick the ones you know are already in place. [Has an open source program office (OSPO) or equivalent function]</t>
        </is>
      </c>
      <c r="U1" s="20" t="inlineStr">
        <is>
          <t>Q300[SQ002]. Tick the ones you know are already in place. [Has an open source use policy]</t>
        </is>
      </c>
      <c r="V1" s="20" t="inlineStr">
        <is>
          <t>Q300[SQ003]. Tick the ones you know are already in place. [Has a defined process for using open source software]</t>
        </is>
      </c>
      <c r="W1" s="20" t="inlineStr">
        <is>
          <t>Q300[SQ004]. Tick the ones you know are already in place. [Provides staff with guidance on the responsible use of open source AI]</t>
        </is>
      </c>
      <c r="X1" s="20" t="inlineStr">
        <is>
          <t>Q300[SQ005]. Tick the ones you know are already in place. [None of the above]</t>
        </is>
      </c>
      <c r="Y1" s="20" t="inlineStr">
        <is>
          <t>Q301. Where is support for "policy and open source program office" activities currently available at Example University?</t>
        </is>
      </c>
      <c r="Z1" s="20" t="inlineStr">
        <is>
          <t>Q310[SQ001]. Tick the ones you know are already in place. [Has standardized controls around open source use]</t>
        </is>
      </c>
      <c r="AA1" s="20" t="inlineStr">
        <is>
          <t>Q310[SQ002]. Tick the ones you know are already in place. [Has an automated process for managing open source IP / license compliance]</t>
        </is>
      </c>
      <c r="AB1" s="20" t="inlineStr">
        <is>
          <t>Q310[SQ003]. Tick the ones you know are already in place. [Includes open source risk management in its compliance policy]</t>
        </is>
      </c>
      <c r="AC1" s="20" t="inlineStr">
        <is>
          <t>Q310[SQ004]. Tick the ones you know are already in place. [Engages its technology-transfer or knowledge-exchange office when releasing or licensing open source software]</t>
        </is>
      </c>
      <c r="AD1" s="20" t="inlineStr">
        <is>
          <t>Q310[SQ005]. Tick the ones you know are already in place. [Provides internal license-compliance training]</t>
        </is>
      </c>
      <c r="AE1" s="20" t="inlineStr">
        <is>
          <t>Q310[SQ006]. Tick the ones you know are already in place. [Addresses AI-generated code (licensing, attribution, and IP) in its open source or compliance policy]</t>
        </is>
      </c>
      <c r="AF1" s="20" t="inlineStr">
        <is>
          <t>Q310[SQ007]. Tick the ones you know are already in place. [None of the above]</t>
        </is>
      </c>
      <c r="AG1" s="20" t="inlineStr">
        <is>
          <t>Q311. Where is support for "compliance and risk" activities currently available at Example University?</t>
        </is>
      </c>
      <c r="AH1" s="20" t="inlineStr">
        <is>
          <t>Q320[SQ001]. Tick the ones you know are already in place. [Uses code-scanning tools to audit software composition and dependencies]</t>
        </is>
      </c>
      <c r="AI1" s="20" t="inlineStr">
        <is>
          <t>Q320[SQ002]. Tick the ones you know are already in place. [Runs penetration tests and periodic threat assessments for open source software]</t>
        </is>
      </c>
      <c r="AJ1" s="20" t="inlineStr">
        <is>
          <t>Q320[SQ003]. Tick the ones you know are already in place. [Provides security training for teams working on open source software]</t>
        </is>
      </c>
      <c r="AK1" s="20" t="inlineStr">
        <is>
          <t>Q320[SQ004]. Tick the ones you know are already in place. [None of the above]</t>
        </is>
      </c>
      <c r="AL1" s="20" t="inlineStr">
        <is>
          <t>Q321. Where is support for "security and supply chain" activities currently available at Example University?</t>
        </is>
      </c>
      <c r="AM1" s="20" t="inlineStr">
        <is>
          <t>Q330[SQ001]. Tick the ones you know are already in place. [Has a process to choose between open source alternatives]</t>
        </is>
      </c>
      <c r="AN1" s="20" t="inlineStr">
        <is>
          <t>Q330[SQ002]. Tick the ones you know are already in place. [Prefers open source solutions over proprietary software where appropriate]</t>
        </is>
      </c>
      <c r="AO1" s="20" t="inlineStr">
        <is>
          <t>Q330[SQ003]. Tick the ones you know are already in place. [Applies open source criteria in procurement decisions]</t>
        </is>
      </c>
      <c r="AP1" s="20" t="inlineStr">
        <is>
          <t>Q330[SQ004]. Tick the ones you know are already in place. [Has a procurement process that doesn't hinder open source use]</t>
        </is>
      </c>
      <c r="AQ1" s="20" t="inlineStr">
        <is>
          <t>Q330[SQ005]. Tick the ones you know are already in place. [Maintains a software asset registry / inventory]</t>
        </is>
      </c>
      <c r="AR1" s="20" t="inlineStr">
        <is>
          <t>Q330[SQ006]. Tick the ones you know are already in place. [Provides internal training on open source usage policies and procedures]</t>
        </is>
      </c>
      <c r="AS1" s="20" t="inlineStr">
        <is>
          <t>Q330[SQ007]. Tick the ones you know are already in place. [None of the above]</t>
        </is>
      </c>
      <c r="AT1" s="20" t="inlineStr">
        <is>
          <t>Q331. Where is support for "open source selection, use, and procurement" activities currently available at Example University?</t>
        </is>
      </c>
      <c r="AU1" s="20" t="inlineStr">
        <is>
          <t>Q340[SQ001]. Tick the ones you know are already in place. [Has policies to govern contribution to open source ecosystems]</t>
        </is>
      </c>
      <c r="AV1" s="20" t="inlineStr">
        <is>
          <t>Q340[SQ002]. Tick the ones you know are already in place. [Has a clear policy for how staff publish or contribute to open source projects]</t>
        </is>
      </c>
      <c r="AW1" s="20" t="inlineStr">
        <is>
          <t>Q340[SQ003]. Tick the ones you know are already in place. [Has processes that support open source contribution]</t>
        </is>
      </c>
      <c r="AX1" s="20" t="inlineStr">
        <is>
          <t>Q340[SQ004]. Tick the ones you know are already in place. [Has a review process for code and non-code contributions]</t>
        </is>
      </c>
      <c r="AY1" s="20" t="inlineStr">
        <is>
          <t>Q340[SQ005]. Tick the ones you know are already in place. [Has a lifecycle process for engaging with open source projects]</t>
        </is>
      </c>
      <c r="AZ1" s="20" t="inlineStr">
        <is>
          <t>Q340[SQ006]. Tick the ones you know are already in place. [None of the above]</t>
        </is>
      </c>
      <c r="BA1" s="20" t="inlineStr">
        <is>
          <t>Q341. Where is support for "open source contribution" activities currently available at Example University?</t>
        </is>
      </c>
      <c r="BB1" s="20" t="inlineStr">
        <is>
          <t>Q350[SQ001]. Tick the ones you know are already in place. [Promotes and rewards contribution to open source projects]</t>
        </is>
      </c>
      <c r="BC1" s="20" t="inlineStr">
        <is>
          <t>Q350[SQ002]. Tick the ones you know are already in place. [Tracks staff or members' open source contributions]</t>
        </is>
      </c>
      <c r="BD1" s="20" t="inlineStr">
        <is>
          <t>Q350[SQ003]. Tick the ones you know are already in place. [Maintains an inventory of open source projects created within Example University]</t>
        </is>
      </c>
      <c r="BE1" s="20" t="inlineStr">
        <is>
          <t>Q350[SQ004]. Tick the ones you know are already in place. [Fosters outreach for the visibility of its open source projects]</t>
        </is>
      </c>
      <c r="BF1" s="20" t="inlineStr">
        <is>
          <t>Q350[SQ005]. Tick the ones you know are already in place. [Engages marketing / communications in open source publishing efforts]</t>
        </is>
      </c>
      <c r="BG1" s="20" t="inlineStr">
        <is>
          <t>Q350[SQ006]. Tick the ones you know are already in place. [None of the above]</t>
        </is>
      </c>
      <c r="BH1" s="20" t="inlineStr">
        <is>
          <t>Q351. Where is support for "community and outreach" activities currently available at Example University?</t>
        </is>
      </c>
      <c r="BI1" s="20" t="inlineStr">
        <is>
          <t>Q360[SQ001]. Tick the ones you know are already in place. [Has a defined process for open-sourcing internal projects]</t>
        </is>
      </c>
      <c r="BJ1" s="20" t="inlineStr">
        <is>
          <t>Q360[SQ002]. Tick the ones you know are already in place. [Holds maintainer status on one or more open source projects]</t>
        </is>
      </c>
      <c r="BK1" s="20" t="inlineStr">
        <is>
          <t>Q360[SQ003]. Tick the ones you know are already in place. [Measures the health of the open source projects it maintains]</t>
        </is>
      </c>
      <c r="BL1" s="20" t="inlineStr">
        <is>
          <t>Q360[SQ004]. Tick the ones you know are already in place. [Tracks the adoption and impact of its research software (downloads, citations, reuse)]</t>
        </is>
      </c>
      <c r="BM1" s="20" t="inlineStr">
        <is>
          <t>Q360[SQ005]. Tick the ones you know are already in place. [Is a member of one or more software foundations]</t>
        </is>
      </c>
      <c r="BN1" s="20" t="inlineStr">
        <is>
          <t>Q360[SQ006]. Tick the ones you know are already in place. [Tracks KPIs / metrics around its open source foundation engagement]</t>
        </is>
      </c>
      <c r="BO1" s="20" t="inlineStr">
        <is>
          <t>Q360[SQ007]. Tick the ones you know are already in place. [Provides shared development infrastructure (e.g. code hosting, CI/CD) for its open source projects]</t>
        </is>
      </c>
      <c r="BP1" s="20" t="inlineStr">
        <is>
          <t>Q360[SQ008]. Tick the ones you know are already in place. [Offers compute or storage resources to support open source development]</t>
        </is>
      </c>
      <c r="BQ1" s="20" t="inlineStr">
        <is>
          <t>Q360[SQ009]. Tick the ones you know are already in place. [None of the above]</t>
        </is>
      </c>
      <c r="BR1" s="20" t="inlineStr">
        <is>
          <t>Q361. Where is support for "hosting and maintenance" activities currently available at Example University?</t>
        </is>
      </c>
      <c r="BS1" s="20" t="inlineStr">
        <is>
          <t>Q370[SQ001]. Tick the ones you know are already in place. [Management recognises the benefits of open source]</t>
        </is>
      </c>
      <c r="BT1" s="20" t="inlineStr">
        <is>
          <t>Q370[SQ002]. Tick the ones you know are already in place. [Management understands the cost savings of open source]</t>
        </is>
      </c>
      <c r="BU1" s="20" t="inlineStr">
        <is>
          <t>Q370[SQ003]. Tick the ones you know are already in place. [Defines goals and objectives in an open source strategy]</t>
        </is>
      </c>
      <c r="BV1" s="20" t="inlineStr">
        <is>
          <t>Q370[SQ004]. Tick the ones you know are already in place. [Connects its open source work to its research mission and impact]</t>
        </is>
      </c>
      <c r="BW1" s="20" t="inlineStr">
        <is>
          <t>Q370[SQ005]. Tick the ones you know are already in place. [Has a strategy for the financial sustainability of its open source projects]</t>
        </is>
      </c>
      <c r="BX1" s="20" t="inlineStr">
        <is>
          <t>Q370[SQ006]. Tick the ones you know are already in place. [Allocates dedicated budget or funding to sustain and maintain its open source projects]</t>
        </is>
      </c>
      <c r="BY1" s="20" t="inlineStr">
        <is>
          <t>Q370[SQ007]. Tick the ones you know are already in place. [Formally allocates staff time to open source maintenance and contribution]</t>
        </is>
      </c>
      <c r="BZ1" s="20" t="inlineStr">
        <is>
          <t>Q370[SQ008]. Tick the ones you know are already in place. [None of the above]</t>
        </is>
      </c>
      <c r="CA1" s="20" t="inlineStr">
        <is>
          <t>Q371. Where is support for "leadership and strategy" activities currently available at Example University?</t>
        </is>
      </c>
      <c r="CB1" s="20" t="inlineStr">
        <is>
          <t>INTRO4. Example University wants to do a better job of supporting open source work, and is working out how. The pages that follow list kinds of support it might offer, grouped by topic.Start with your own work. Tick what would help you, and leave the rest. You don't need to weigh up what other people might want.</t>
        </is>
      </c>
      <c r="CC1" s="20" t="inlineStr">
        <is>
          <t>Q400[SQ001]. Tick the support you'd find valuable for your open source work. [Legal and open source licensing advice and support]</t>
        </is>
      </c>
      <c r="CD1" s="20" t="inlineStr">
        <is>
          <t>Q400[SQ002]. Tick the support you'd find valuable for your open source work. [Advice on security management]</t>
        </is>
      </c>
      <c r="CE1" s="20" t="inlineStr">
        <is>
          <t>Q400[SQ003]. Tick the support you'd find valuable for your open source work. [Advice on dependency management]</t>
        </is>
      </c>
      <c r="CF1" s="20" t="inlineStr">
        <is>
          <t>Q400[SQ004]. Tick the support you'd find valuable for your open source work. [Assessing vendor open source obligations (e.g. CRA compliance, software bills of materials)]</t>
        </is>
      </c>
      <c r="CG1" s="20" t="inlineStr">
        <is>
          <t>Q400[SQ005]. Tick the support you'd find valuable for your open source work. [Grant compliance with respect to open source requirements]</t>
        </is>
      </c>
      <c r="CH1" s="20" t="inlineStr">
        <is>
          <t>Q400[SQ006]. Tick the support you'd find valuable for your open source work. [Policy recommendations and best practices around open source AI]</t>
        </is>
      </c>
      <c r="CI1" s="20" t="inlineStr">
        <is>
          <t>Q400[SQ007]. Tick the support you'd find valuable for your open source work. [None of the above]</t>
        </is>
      </c>
      <c r="CJ1" s="20" t="inlineStr">
        <is>
          <t>Q401. Is there any other "legal, compliance, and risk" support that would be valuable to you?</t>
        </is>
      </c>
      <c r="CK1" s="20" t="inlineStr">
        <is>
          <t>Q410[SQ001]. Tick the support you'd find valuable for your open source work. [Guidelines or policies for using open source software within Example University]</t>
        </is>
      </c>
      <c r="CL1" s="20" t="inlineStr">
        <is>
          <t>Q410[SQ002]. Tick the support you'd find valuable for your open source work. [Guidelines or policies for procuring open source software]</t>
        </is>
      </c>
      <c r="CM1" s="20" t="inlineStr">
        <is>
          <t>Q410[SQ003]. Tick the support you'd find valuable for your open source work. [A curated catalogue or directory of open source tools relevant to Example University's community]</t>
        </is>
      </c>
      <c r="CN1" s="20" t="inlineStr">
        <is>
          <t>Q410[SQ004]. Tick the support you'd find valuable for your open source work. [None of the above]</t>
        </is>
      </c>
      <c r="CO1" s="20" t="inlineStr">
        <is>
          <t>Q411. Is there any other "open source selection, use, and procurement" support that would be valuable to you?</t>
        </is>
      </c>
      <c r="CP1" s="20" t="inlineStr">
        <is>
          <t>Q420[SQ001]. Tick the support you'd find valuable for your open source work. [Guidelines or policies on managing and maintaining an open source project]</t>
        </is>
      </c>
      <c r="CQ1" s="20" t="inlineStr">
        <is>
          <t>Q420[SQ002]. Tick the support you'd find valuable for your open source work. [Guidance on transitioning an internal project to open source]</t>
        </is>
      </c>
      <c r="CR1" s="20" t="inlineStr">
        <is>
          <t>Q420[SQ003]. Tick the support you'd find valuable for your open source work. [Support writing documentation for open source projects]</t>
        </is>
      </c>
      <c r="CS1" s="20" t="inlineStr">
        <is>
          <t>Q420[SQ004]. Tick the support you'd find valuable for your open source work. [An assessment or audit of my open source project's community health and contributor readiness]</t>
        </is>
      </c>
      <c r="CT1" s="20" t="inlineStr">
        <is>
          <t>Q420[SQ005]. Tick the support you'd find valuable for your open source work. [None of the above]</t>
        </is>
      </c>
      <c r="CU1" s="20" t="inlineStr">
        <is>
          <t>Q421. Is there any other "open source project creation and maintenance" support that would be valuable to you?</t>
        </is>
      </c>
      <c r="CV1" s="20" t="inlineStr">
        <is>
          <t>Q430[SQ001]. Tick the support you'd find valuable for your open source work. [An open source community of practice, discussion group, or learning group]</t>
        </is>
      </c>
      <c r="CW1" s="20" t="inlineStr">
        <is>
          <t>Q430[SQ002]. Tick the support you'd find valuable for your open source work. [Mentorship on open source practices for myself or my team]</t>
        </is>
      </c>
      <c r="CX1" s="20" t="inlineStr">
        <is>
          <t>Q430[SQ003]. Tick the support you'd find valuable for your open source work. [Mentoring programmes to bring new people into my project]</t>
        </is>
      </c>
      <c r="CY1" s="20" t="inlineStr">
        <is>
          <t>Q430[SQ004]. Tick the support you'd find valuable for your open source work. [Training, workshops, and educational materials on open source topics and tools (e.g. programming languages, popular packages)]</t>
        </is>
      </c>
      <c r="CZ1" s="20" t="inlineStr">
        <is>
          <t>Q430[SQ005]. Tick the support you'd find valuable for your open source work. [None of the above]</t>
        </is>
      </c>
      <c r="DA1" s="20" t="inlineStr">
        <is>
          <t>Q431. Is there any other "community and mentoring" support that would be valuable to you?</t>
        </is>
      </c>
      <c r="DB1" s="20" t="inlineStr">
        <is>
          <t>Q440[SQ001]. Tick the support you'd find valuable for your open source work. [Support identifying potential funding sources]</t>
        </is>
      </c>
      <c r="DC1" s="20" t="inlineStr">
        <is>
          <t>Q440[SQ002]. Tick the support you'd find valuable for your open source work. [Support with grant applications and grant writing]</t>
        </is>
      </c>
      <c r="DD1" s="20" t="inlineStr">
        <is>
          <t>Q440[SQ003]. Tick the support you'd find valuable for your open source work. [Dedicated grants or funding from Example University to sustain and maintain my open source projects]</t>
        </is>
      </c>
      <c r="DE1" s="20" t="inlineStr">
        <is>
          <t>Q440[SQ004]. Tick the support you'd find valuable for your open source work. [Help developing a sustainable business or funding model for my open source project]</t>
        </is>
      </c>
      <c r="DF1" s="20" t="inlineStr">
        <is>
          <t>Q440[SQ005]. Tick the support you'd find valuable for your open source work. [None of the above]</t>
        </is>
      </c>
      <c r="DG1" s="20" t="inlineStr">
        <is>
          <t>Q441. Is there any other "funding and sustainability" support that would be valuable to you?</t>
        </is>
      </c>
      <c r="DH1" s="20" t="inlineStr">
        <is>
          <t>Q450[SQ001]. Tick the support you'd find valuable for your open source work. [Hosted development tools and infrastructure for open source software]</t>
        </is>
      </c>
      <c r="DI1" s="20" t="inlineStr">
        <is>
          <t>Q450[SQ002]. Tick the support you'd find valuable for your open source work. [Support creating containers (e.g. Docker) for my open source software]</t>
        </is>
      </c>
      <c r="DJ1" s="20" t="inlineStr">
        <is>
          <t>Q450[SQ003]. Tick the support you'd find valuable for your open source work. [Access to CPU or high-performance computing resources at low or no cost]</t>
        </is>
      </c>
      <c r="DK1" s="20" t="inlineStr">
        <is>
          <t>Q450[SQ004]. Tick the support you'd find valuable for your open source work. [Access to GPU resources (e.g. for AI/ML workloads) at low or no cost]</t>
        </is>
      </c>
      <c r="DL1" s="20" t="inlineStr">
        <is>
          <t>Q450[SQ005]. Tick the support you'd find valuable for your open source work. [Access to data storage infrastructure at low or no cost]</t>
        </is>
      </c>
      <c r="DM1" s="20" t="inlineStr">
        <is>
          <t>Q450[SQ006]. Tick the support you'd find valuable for your open source work. [Access to CI/CD pipelines and automated testing infrastructure at low or no cost]</t>
        </is>
      </c>
      <c r="DN1" s="20" t="inlineStr">
        <is>
          <t>Q450[SQ007]. Tick the support you'd find valuable for your open source work. [Access to hosted test or staging environments at low or no cost]</t>
        </is>
      </c>
      <c r="DO1" s="20" t="inlineStr">
        <is>
          <t>Q450[SQ008]. Tick the support you'd find valuable for your open source work. [Access to licensed software, SaaS tools, or development platforms at low or no cost]</t>
        </is>
      </c>
      <c r="DP1" s="20" t="inlineStr">
        <is>
          <t>Q450[SQ009]. Tick the support you'd find valuable for your open source work. [None of the above]</t>
        </is>
      </c>
      <c r="DQ1" s="20" t="inlineStr">
        <is>
          <t>Q451. Is there any other "tools and compute resources" support that would be valuable to you?</t>
        </is>
      </c>
      <c r="DR1" s="20" t="inlineStr">
        <is>
          <t>Q460[SQ001]. Tick the support you'd find valuable for your open source work. [Internal advocacy support to secure organisational buy-in for open source]</t>
        </is>
      </c>
      <c r="DS1" s="20" t="inlineStr">
        <is>
          <t>Q460[SQ002]. Tick the support you'd find valuable for your open source work. [Marketing and promotion support for my open source projects]</t>
        </is>
      </c>
      <c r="DT1" s="20" t="inlineStr">
        <is>
          <t>Q460[SQ003]. Tick the support you'd find valuable for your open source work. [Help hosting, planning, or co-sponsoring open source events (e.g. conferences and hackathons)]</t>
        </is>
      </c>
      <c r="DU1" s="20" t="inlineStr">
        <is>
          <t>Q460[SQ004]. Tick the support you'd find valuable for your open source work. [Support building partnerships and collaborations with external organisations]</t>
        </is>
      </c>
      <c r="DV1" s="20" t="inlineStr">
        <is>
          <t>Q460[SQ005]. Tick the support you'd find valuable for your open source work. [Support communicating or measuring the societal impact of my open source work]</t>
        </is>
      </c>
      <c r="DW1" s="20" t="inlineStr">
        <is>
          <t>Q460[SQ006]. Tick the support you'd find valuable for your open source work. [None of the above]</t>
        </is>
      </c>
      <c r="DX1" s="20" t="inlineStr">
        <is>
          <t>Q461. Is there any other "advocacy and outreach" support that would be valuable to you?</t>
        </is>
      </c>
      <c r="DY1" s="20" t="inlineStr">
        <is>
          <t>Q50. If you are willing, please tell us about your background with open source. The next questions are optional.</t>
        </is>
      </c>
      <c r="DZ1" s="20" t="inlineStr">
        <is>
          <t>Q51. Would you be willing to answer a few optional questions about your personal experience with open source?</t>
        </is>
      </c>
      <c r="EA1" s="20" t="inlineStr">
        <is>
          <t>Q52[SQ001]. People participate in open source in different ways. Which of the following activities do you engage in? [Follow updates and discussions of open source projects]</t>
        </is>
      </c>
      <c r="EB1" s="20" t="inlineStr">
        <is>
          <t>Q52[SQ002]. People participate in open source in different ways. Which of the following activities do you engage in? [Use open source applications]</t>
        </is>
      </c>
      <c r="EC1" s="20" t="inlineStr">
        <is>
          <t>Q52[SQ003]. People participate in open source in different ways. Which of the following activities do you engage in? [Use open source dependencies in other projects]</t>
        </is>
      </c>
      <c r="ED1" s="20" t="inlineStr">
        <is>
          <t>Q52[SQ004]. People participate in open source in different ways. Which of the following activities do you engage in? [Participate in open source development (feature requests, filing bugs, contributing docs or code, maintenance, community management, etc.)]</t>
        </is>
      </c>
      <c r="EE1" s="20" t="inlineStr">
        <is>
          <t>Q52[SQ005]. People participate in open source in different ways. Which of the following activities do you engage in? [None of the above]</t>
        </is>
      </c>
      <c r="EF1" s="20" t="inlineStr">
        <is>
          <t>Q52[other]. People participate in open source in different ways. Which of the following activities do you engage in? [Other]</t>
        </is>
      </c>
      <c r="EG1" s="20" t="inlineStr">
        <is>
          <t>Q53[SQ001]. Which of the following activities do you take part in? [Contribute code]</t>
        </is>
      </c>
      <c r="EH1" s="20" t="inlineStr">
        <is>
          <t>Q53[SQ002]. Which of the following activities do you take part in? [Contribute documentation]</t>
        </is>
      </c>
      <c r="EI1" s="20" t="inlineStr">
        <is>
          <t>Q53[SQ003]. Which of the following activities do you take part in? [Maintain a project (review and merge contributions, manage releases)]</t>
        </is>
      </c>
      <c r="EJ1" s="20" t="inlineStr">
        <is>
          <t>Q53[SQ004]. Which of the following activities do you take part in? [Report or document bugs and unexpected behaviours]</t>
        </is>
      </c>
      <c r="EK1" s="20" t="inlineStr">
        <is>
          <t>Q53[SQ005]. Which of the following activities do you take part in? [Offer ideas for new features]</t>
        </is>
      </c>
      <c r="EL1" s="20" t="inlineStr">
        <is>
          <t>Q53[SQ006]. Which of the following activities do you take part in? [Perform organisational / administrative functions (manage mailing lists, organise events)]</t>
        </is>
      </c>
      <c r="EM1" s="20" t="inlineStr">
        <is>
          <t>Q53[SQ007]. Which of the following activities do you take part in? [Grow a project (marketing, outreach, sales, growth, community management)]</t>
        </is>
      </c>
      <c r="EN1" s="20" t="inlineStr">
        <is>
          <t>Q53[SQ008]. Which of the following activities do you take part in? [Develop open source policy]</t>
        </is>
      </c>
      <c r="EO1" s="20" t="inlineStr">
        <is>
          <t>Q53[SQ009]. Which of the following activities do you take part in? [None of the above]</t>
        </is>
      </c>
      <c r="EP1" s="20" t="inlineStr">
        <is>
          <t>Q54[SQ001]. Which of these open source contributor roles has ever applied to you? [Maintainer: authoring much or most of the codebase / designs for at least one open source product intended for public reuse]</t>
        </is>
      </c>
      <c r="EQ1" s="20" t="inlineStr">
        <is>
          <t>Q54[SQ002]. Which of these open source contributor roles has ever applied to you? [Contributor: contributing smaller amounts of code or design, e.g. fixing bugs or adding features]</t>
        </is>
      </c>
      <c r="ER1" s="20" t="inlineStr">
        <is>
          <t>Q54[SQ003]. Which of these open source contributor roles has ever applied to you? [Bug / issue reporter: reporting bugs or issues, or requesting new features]</t>
        </is>
      </c>
      <c r="ES1" s="20" t="inlineStr">
        <is>
          <t>Q54[SQ004]. Which of these open source contributor roles has ever applied to you? [Supervisor: guiding the strategic vision of at least one project, and/or acquiring funding for it]</t>
        </is>
      </c>
      <c r="ET1" s="20" t="inlineStr">
        <is>
          <t>Q54[SQ005]. Which of these open source contributor roles has ever applied to you? [IT / systems administrator: providing technical infrastructure for open source developers]</t>
        </is>
      </c>
      <c r="EU1" s="20" t="inlineStr">
        <is>
          <t>Q54[SQ006]. Which of these open source contributor roles has ever applied to you? [UI / UX designer: creating user-centered interfaces and experiences]</t>
        </is>
      </c>
      <c r="EV1" s="20" t="inlineStr">
        <is>
          <t>Q54[SQ007]. Which of these open source contributor roles has ever applied to you? [Community manager: engaging the community, facilitating communication, encouraging contributions]</t>
        </is>
      </c>
      <c r="EW1" s="20" t="inlineStr">
        <is>
          <t>Q54[SQ008]. Which of these open source contributor roles has ever applied to you? [Technical support: assisting users through forums, email, or other channels]</t>
        </is>
      </c>
      <c r="EX1" s="20" t="inlineStr">
        <is>
          <t>Q54[SQ009]. Which of these open source contributor roles has ever applied to you? [Educator: creating documentation, tutorials, articles, or other learning materials]</t>
        </is>
      </c>
      <c r="EY1" s="20" t="inlineStr">
        <is>
          <t>Q54[SQ010]. Which of these open source contributor roles has ever applied to you? [None of the above]</t>
        </is>
      </c>
      <c r="EZ1" s="20" t="inlineStr">
        <is>
          <t>Q54[other]. Which of these open source contributor roles has ever applied to you? [Other]</t>
        </is>
      </c>
      <c r="FA1" s="20" t="inlineStr">
        <is>
          <t>Q55[SQ001]. Why do you participate in open source projects? [My work duties include contributing to open source projects]</t>
        </is>
      </c>
      <c r="FB1" s="20" t="inlineStr">
        <is>
          <t>Q55[SQ002]. Why do you participate in open source projects? [To carry out other work duties, but I am not required or expected to do so]</t>
        </is>
      </c>
      <c r="FC1" s="20" t="inlineStr">
        <is>
          <t>Q55[SQ003]. Why do you participate in open source projects? [To improve the tools in my field]</t>
        </is>
      </c>
      <c r="FD1" s="20" t="inlineStr">
        <is>
          <t>Q55[SQ004]. Why do you participate in open source projects? [To customise existing tools for my specific needs]</t>
        </is>
      </c>
      <c r="FE1" s="20" t="inlineStr">
        <is>
          <t>Q55[SQ005]. Why do you participate in open source projects? [To build a network of peers]</t>
        </is>
      </c>
      <c r="FF1" s="20" t="inlineStr">
        <is>
          <t>Q55[SQ006]. Why do you participate in open source projects? [To give back to the open source community]</t>
        </is>
      </c>
      <c r="FG1" s="20" t="inlineStr">
        <is>
          <t>Q55[SQ007]. Why do you participate in open source projects? [To improve my skills]</t>
        </is>
      </c>
      <c r="FH1" s="20" t="inlineStr">
        <is>
          <t>Q55[SQ008]. Why do you participate in open source projects? [Because it's fun]</t>
        </is>
      </c>
      <c r="FI1" s="20" t="inlineStr">
        <is>
          <t>Q55[SQ009]. Why do you participate in open source projects? [None of the above]</t>
        </is>
      </c>
      <c r="FJ1" s="20" t="inlineStr">
        <is>
          <t>Q55[other]. Why do you participate in open source projects? [Other]</t>
        </is>
      </c>
      <c r="FK1" s="20" t="inlineStr">
        <is>
          <t>Q56[SQ001]. What category(ies) of open source projects have you participated in? [Hardware: physical devices used for research (cameras, robots, behavioural rigs) and associated code]</t>
        </is>
      </c>
      <c r="FL1" s="20" t="inlineStr">
        <is>
          <t>Q56[SQ002]. What category(ies) of open source projects have you participated in? [Applications: standalone software systems designed to be used as-is]</t>
        </is>
      </c>
      <c r="FM1" s="20" t="inlineStr">
        <is>
          <t>Q56[SQ003]. What category(ies) of open source projects have you participated in? [Plug-ins or extensions: add-ons that extend existing software or platforms]</t>
        </is>
      </c>
      <c r="FN1" s="20" t="inlineStr">
        <is>
          <t>Q56[SQ004]. What category(ies) of open source projects have you participated in? [Libraries, packages, or frameworks: reusable code distributed through established community mechanisms]</t>
        </is>
      </c>
      <c r="FO1" s="20" t="inlineStr">
        <is>
          <t>Q56[SQ005]. What category(ies) of open source projects have you participated in? [Automation scripts: scripts or tools to automate workflows or repetitive tasks]</t>
        </is>
      </c>
      <c r="FP1" s="20" t="inlineStr">
        <is>
          <t>Q56[SQ006]. What category(ies) of open source projects have you participated in? [Website code: back-end or front-end website components]</t>
        </is>
      </c>
      <c r="FQ1" s="20" t="inlineStr">
        <is>
          <t>Q56[SQ007]. What category(ies) of open source projects have you participated in? [None of the above]</t>
        </is>
      </c>
      <c r="FR1" s="20" t="inlineStr">
        <is>
          <t>Q56[other]. What category(ies) of open source projects have you participated in? [Other]</t>
        </is>
      </c>
      <c r="FS1" s="20" t="inlineStr">
        <is>
          <t>Q57[SQ001]. Which of the following challenges have you encountered while participating in open source projects? [Limited time for writing new code]</t>
        </is>
      </c>
      <c r="FT1" s="20" t="inlineStr">
        <is>
          <t>Q57[SQ002]. Which of the following challenges have you encountered while participating in open source projects? [Limited time for writing documentation]</t>
        </is>
      </c>
      <c r="FU1" s="20" t="inlineStr">
        <is>
          <t>Q57[SQ003]. Which of the following challenges have you encountered while participating in open source projects? [Managing issues and pull requests]</t>
        </is>
      </c>
      <c r="FV1" s="20" t="inlineStr">
        <is>
          <t>Q57[SQ004]. Which of the following challenges have you encountered while participating in open source projects? [Attracting users and/or contributors]</t>
        </is>
      </c>
      <c r="FW1" s="20" t="inlineStr">
        <is>
          <t>Q57[SQ005]. Which of the following challenges have you encountered while participating in open source projects? [Receiving recognition for my contributions]</t>
        </is>
      </c>
      <c r="FX1" s="20" t="inlineStr">
        <is>
          <t>Q57[SQ006]. Which of the following challenges have you encountered while participating in open source projects? [Finding and hiring qualified personnel]</t>
        </is>
      </c>
      <c r="FY1" s="20" t="inlineStr">
        <is>
          <t>Q57[SQ007]. Which of the following challenges have you encountered while participating in open source projects? [Managing security risks]</t>
        </is>
      </c>
      <c r="FZ1" s="20" t="inlineStr">
        <is>
          <t>Q57[SQ008]. Which of the following challenges have you encountered while participating in open source projects? [Finding a community of peers who share my interests]</t>
        </is>
      </c>
      <c r="GA1" s="20" t="inlineStr">
        <is>
          <t>Q57[SQ009]. Which of the following challenges have you encountered while participating in open source projects? [Finding mentors]</t>
        </is>
      </c>
      <c r="GB1" s="20" t="inlineStr">
        <is>
          <t>Q57[SQ010]. Which of the following challenges have you encountered while participating in open source projects? [Finding time to educate myself]</t>
        </is>
      </c>
      <c r="GC1" s="20" t="inlineStr">
        <is>
          <t>Q57[SQ011]. Which of the following challenges have you encountered while participating in open source projects? [Identifying helpful educational resources]</t>
        </is>
      </c>
      <c r="GD1" s="20" t="inlineStr">
        <is>
          <t>Q57[SQ012]. Which of the following challenges have you encountered while participating in open source projects? [Navigating licensing and other legal issues]</t>
        </is>
      </c>
      <c r="GE1" s="20" t="inlineStr">
        <is>
          <t>Q57[SQ013]. Which of the following challenges have you encountered while participating in open source projects? [Identifying potential funding sources for my open source projects]</t>
        </is>
      </c>
      <c r="GF1" s="20" t="inlineStr">
        <is>
          <t>Q57[SQ014]. Which of the following challenges have you encountered while participating in open source projects? [Securing funding for my open source projects]</t>
        </is>
      </c>
      <c r="GG1" s="20" t="inlineStr">
        <is>
          <t>Q57[SQ015]. Which of the following challenges have you encountered while participating in open source projects? [None of the above]</t>
        </is>
      </c>
      <c r="GH1" s="20" t="inlineStr">
        <is>
          <t>Q58. Other challenges</t>
        </is>
      </c>
      <c r="GI1" s="20" t="inlineStr">
        <is>
          <t>Q70. (Optional) Is there anything important we missed, or anything you'd like to clarify?</t>
        </is>
      </c>
    </row>
    <row r="2" ht="15" customHeight="1" s="21">
      <c r="A2" s="20" t="n">
        <v>1</v>
      </c>
      <c r="B2" s="20" t="inlineStr">
        <is>
          <t>1980-01-01 00:00:00</t>
        </is>
      </c>
      <c r="C2" s="20" t="n">
        <v>25</v>
      </c>
      <c r="D2" s="20" t="inlineStr">
        <is>
          <t>en</t>
        </is>
      </c>
      <c r="E2" s="20" t="n">
        <v>699969027</v>
      </c>
      <c r="F2" s="20" t="inlineStr">
        <is>
          <t>Student (graduate or undergraduate)</t>
        </is>
      </c>
      <c r="H2" s="20" t="inlineStr">
        <is>
          <t>Somewhat important</t>
        </is>
      </c>
      <c r="I2" s="20" t="inlineStr">
        <is>
          <t>No</t>
        </is>
      </c>
      <c r="J2" s="20" t="inlineStr">
        <is>
          <t>No</t>
        </is>
      </c>
      <c r="K2" s="20" t="inlineStr">
        <is>
          <t>No</t>
        </is>
      </c>
      <c r="L2" s="20" t="inlineStr">
        <is>
          <t>No</t>
        </is>
      </c>
      <c r="M2" s="20" t="inlineStr">
        <is>
          <t>Yes</t>
        </is>
      </c>
      <c r="N2" s="20" t="inlineStr">
        <is>
          <t>Yes</t>
        </is>
      </c>
      <c r="O2" s="20" t="inlineStr">
        <is>
          <t>Yes</t>
        </is>
      </c>
      <c r="P2" s="20" t="inlineStr">
        <is>
          <t>No</t>
        </is>
      </c>
      <c r="R2" s="20" t="inlineStr">
        <is>
          <t>Confident</t>
        </is>
      </c>
      <c r="T2" s="20" t="inlineStr">
        <is>
          <t>Yes</t>
        </is>
      </c>
      <c r="U2" s="20" t="inlineStr">
        <is>
          <t>No</t>
        </is>
      </c>
      <c r="V2" s="20" t="inlineStr">
        <is>
          <t>Yes</t>
        </is>
      </c>
      <c r="W2" s="20" t="inlineStr">
        <is>
          <t>No</t>
        </is>
      </c>
      <c r="X2" s="20" t="inlineStr">
        <is>
          <t>No</t>
        </is>
      </c>
      <c r="Z2" s="20" t="inlineStr">
        <is>
          <t>N/A</t>
        </is>
      </c>
      <c r="AA2" s="20" t="inlineStr">
        <is>
          <t>N/A</t>
        </is>
      </c>
      <c r="AB2" s="20" t="inlineStr">
        <is>
          <t>N/A</t>
        </is>
      </c>
      <c r="AC2" s="20" t="inlineStr">
        <is>
          <t>N/A</t>
        </is>
      </c>
      <c r="AD2" s="20" t="inlineStr">
        <is>
          <t>N/A</t>
        </is>
      </c>
      <c r="AE2" s="20" t="inlineStr">
        <is>
          <t>N/A</t>
        </is>
      </c>
      <c r="AF2" s="20" t="inlineStr">
        <is>
          <t>Yes</t>
        </is>
      </c>
      <c r="AH2" s="20" t="inlineStr">
        <is>
          <t>Yes</t>
        </is>
      </c>
      <c r="AI2" s="20" t="inlineStr">
        <is>
          <t>No</t>
        </is>
      </c>
      <c r="AJ2" s="20" t="inlineStr">
        <is>
          <t>Yes</t>
        </is>
      </c>
      <c r="AK2" s="20" t="inlineStr">
        <is>
          <t>No</t>
        </is>
      </c>
      <c r="AM2" s="20" t="inlineStr">
        <is>
          <t>No</t>
        </is>
      </c>
      <c r="AN2" s="20" t="inlineStr">
        <is>
          <t>Yes</t>
        </is>
      </c>
      <c r="AO2" s="20" t="inlineStr">
        <is>
          <t>No</t>
        </is>
      </c>
      <c r="AP2" s="20" t="inlineStr">
        <is>
          <t>Yes</t>
        </is>
      </c>
      <c r="AQ2" s="20" t="inlineStr">
        <is>
          <t>No</t>
        </is>
      </c>
      <c r="AR2" s="20" t="inlineStr">
        <is>
          <t>No</t>
        </is>
      </c>
      <c r="AS2" s="20" t="inlineStr">
        <is>
          <t>No</t>
        </is>
      </c>
      <c r="AU2" s="20" t="inlineStr">
        <is>
          <t>No</t>
        </is>
      </c>
      <c r="AV2" s="20" t="inlineStr">
        <is>
          <t>No</t>
        </is>
      </c>
      <c r="AW2" s="20" t="inlineStr">
        <is>
          <t>No</t>
        </is>
      </c>
      <c r="AX2" s="20" t="inlineStr">
        <is>
          <t>No</t>
        </is>
      </c>
      <c r="AY2" s="20" t="inlineStr">
        <is>
          <t>Yes</t>
        </is>
      </c>
      <c r="AZ2" s="20" t="inlineStr">
        <is>
          <t>No</t>
        </is>
      </c>
      <c r="BB2" s="20" t="inlineStr">
        <is>
          <t>Yes</t>
        </is>
      </c>
      <c r="BC2" s="20" t="inlineStr">
        <is>
          <t>Yes</t>
        </is>
      </c>
      <c r="BD2" s="20" t="inlineStr">
        <is>
          <t>No</t>
        </is>
      </c>
      <c r="BE2" s="20" t="inlineStr">
        <is>
          <t>No</t>
        </is>
      </c>
      <c r="BF2" s="20" t="inlineStr">
        <is>
          <t>No</t>
        </is>
      </c>
      <c r="BG2" s="20" t="inlineStr">
        <is>
          <t>No</t>
        </is>
      </c>
      <c r="BI2" s="20" t="inlineStr">
        <is>
          <t>No</t>
        </is>
      </c>
      <c r="BJ2" s="20" t="inlineStr">
        <is>
          <t>No</t>
        </is>
      </c>
      <c r="BK2" s="20" t="inlineStr">
        <is>
          <t>No</t>
        </is>
      </c>
      <c r="BL2" s="20" t="inlineStr">
        <is>
          <t>No</t>
        </is>
      </c>
      <c r="BM2" s="20" t="inlineStr">
        <is>
          <t>Yes</t>
        </is>
      </c>
      <c r="BN2" s="20" t="inlineStr">
        <is>
          <t>No</t>
        </is>
      </c>
      <c r="BO2" s="20" t="inlineStr">
        <is>
          <t>Yes</t>
        </is>
      </c>
      <c r="BP2" s="20" t="inlineStr">
        <is>
          <t>No</t>
        </is>
      </c>
      <c r="BQ2" s="20" t="inlineStr">
        <is>
          <t>No</t>
        </is>
      </c>
      <c r="BS2" s="20" t="inlineStr">
        <is>
          <t>No</t>
        </is>
      </c>
      <c r="BT2" s="20" t="inlineStr">
        <is>
          <t>No</t>
        </is>
      </c>
      <c r="BU2" s="20" t="inlineStr">
        <is>
          <t>No</t>
        </is>
      </c>
      <c r="BV2" s="20" t="inlineStr">
        <is>
          <t>No</t>
        </is>
      </c>
      <c r="BW2" s="20" t="inlineStr">
        <is>
          <t>No</t>
        </is>
      </c>
      <c r="BX2" s="20" t="inlineStr">
        <is>
          <t>No</t>
        </is>
      </c>
      <c r="BY2" s="20" t="inlineStr">
        <is>
          <t>Yes</t>
        </is>
      </c>
      <c r="BZ2" s="20" t="inlineStr">
        <is>
          <t>No</t>
        </is>
      </c>
      <c r="CC2" s="20" t="inlineStr">
        <is>
          <t>Yes</t>
        </is>
      </c>
      <c r="CD2" s="20" t="inlineStr">
        <is>
          <t>Yes</t>
        </is>
      </c>
      <c r="CE2" s="20" t="inlineStr">
        <is>
          <t>No</t>
        </is>
      </c>
      <c r="CF2" s="20" t="inlineStr">
        <is>
          <t>No</t>
        </is>
      </c>
      <c r="CG2" s="20" t="inlineStr">
        <is>
          <t>Yes</t>
        </is>
      </c>
      <c r="CH2" s="20" t="inlineStr">
        <is>
          <t>No</t>
        </is>
      </c>
      <c r="CI2" s="20" t="inlineStr">
        <is>
          <t>No</t>
        </is>
      </c>
      <c r="CK2" s="20" t="inlineStr">
        <is>
          <t>Yes</t>
        </is>
      </c>
      <c r="CL2" s="20" t="inlineStr">
        <is>
          <t>No</t>
        </is>
      </c>
      <c r="CM2" s="20" t="inlineStr">
        <is>
          <t>Yes</t>
        </is>
      </c>
      <c r="CN2" s="20" t="inlineStr">
        <is>
          <t>No</t>
        </is>
      </c>
      <c r="CP2" s="20" t="inlineStr">
        <is>
          <t>Yes</t>
        </is>
      </c>
      <c r="CQ2" s="20" t="inlineStr">
        <is>
          <t>Yes</t>
        </is>
      </c>
      <c r="CR2" s="20" t="inlineStr">
        <is>
          <t>No</t>
        </is>
      </c>
      <c r="CS2" s="20" t="inlineStr">
        <is>
          <t>No</t>
        </is>
      </c>
      <c r="CT2" s="20" t="inlineStr">
        <is>
          <t>No</t>
        </is>
      </c>
      <c r="CV2" s="20" t="inlineStr">
        <is>
          <t>No</t>
        </is>
      </c>
      <c r="CW2" s="20" t="inlineStr">
        <is>
          <t>No</t>
        </is>
      </c>
      <c r="CX2" s="20" t="inlineStr">
        <is>
          <t>No</t>
        </is>
      </c>
      <c r="CY2" s="20" t="inlineStr">
        <is>
          <t>Yes</t>
        </is>
      </c>
      <c r="CZ2" s="20" t="inlineStr">
        <is>
          <t>No</t>
        </is>
      </c>
      <c r="DB2" s="20" t="inlineStr">
        <is>
          <t>No</t>
        </is>
      </c>
      <c r="DC2" s="20" t="inlineStr">
        <is>
          <t>Yes</t>
        </is>
      </c>
      <c r="DD2" s="20" t="inlineStr">
        <is>
          <t>No</t>
        </is>
      </c>
      <c r="DE2" s="20" t="inlineStr">
        <is>
          <t>Yes</t>
        </is>
      </c>
      <c r="DF2" s="20" t="inlineStr">
        <is>
          <t>No</t>
        </is>
      </c>
      <c r="DH2" s="20" t="inlineStr">
        <is>
          <t>No</t>
        </is>
      </c>
      <c r="DI2" s="20" t="inlineStr">
        <is>
          <t>No</t>
        </is>
      </c>
      <c r="DJ2" s="20" t="inlineStr">
        <is>
          <t>No</t>
        </is>
      </c>
      <c r="DK2" s="20" t="inlineStr">
        <is>
          <t>No</t>
        </is>
      </c>
      <c r="DL2" s="20" t="inlineStr">
        <is>
          <t>No</t>
        </is>
      </c>
      <c r="DM2" s="20" t="inlineStr">
        <is>
          <t>Yes</t>
        </is>
      </c>
      <c r="DN2" s="20" t="inlineStr">
        <is>
          <t>No</t>
        </is>
      </c>
      <c r="DO2" s="20" t="inlineStr">
        <is>
          <t>No</t>
        </is>
      </c>
      <c r="DP2" s="20" t="inlineStr">
        <is>
          <t>No</t>
        </is>
      </c>
      <c r="DR2" s="20" t="inlineStr">
        <is>
          <t>No</t>
        </is>
      </c>
      <c r="DS2" s="20" t="inlineStr">
        <is>
          <t>No</t>
        </is>
      </c>
      <c r="DT2" s="20" t="inlineStr">
        <is>
          <t>No</t>
        </is>
      </c>
      <c r="DU2" s="20" t="inlineStr">
        <is>
          <t>No</t>
        </is>
      </c>
      <c r="DV2" s="20" t="inlineStr">
        <is>
          <t>Yes</t>
        </is>
      </c>
      <c r="DW2" s="20" t="inlineStr">
        <is>
          <t>No</t>
        </is>
      </c>
      <c r="DZ2" s="20" t="inlineStr">
        <is>
          <t>No</t>
        </is>
      </c>
      <c r="EA2" s="20" t="inlineStr">
        <is>
          <t>N/A</t>
        </is>
      </c>
      <c r="EB2" s="20" t="inlineStr">
        <is>
          <t>N/A</t>
        </is>
      </c>
      <c r="EC2" s="20" t="inlineStr">
        <is>
          <t>N/A</t>
        </is>
      </c>
      <c r="ED2" s="20" t="inlineStr">
        <is>
          <t>N/A</t>
        </is>
      </c>
      <c r="EE2" s="20" t="inlineStr">
        <is>
          <t>N/A</t>
        </is>
      </c>
      <c r="EG2" s="20" t="inlineStr">
        <is>
          <t>N/A</t>
        </is>
      </c>
      <c r="EH2" s="20" t="inlineStr">
        <is>
          <t>N/A</t>
        </is>
      </c>
      <c r="EI2" s="20" t="inlineStr">
        <is>
          <t>N/A</t>
        </is>
      </c>
      <c r="EJ2" s="20" t="inlineStr">
        <is>
          <t>N/A</t>
        </is>
      </c>
      <c r="EK2" s="20" t="inlineStr">
        <is>
          <t>N/A</t>
        </is>
      </c>
      <c r="EL2" s="20" t="inlineStr">
        <is>
          <t>N/A</t>
        </is>
      </c>
      <c r="EM2" s="20" t="inlineStr">
        <is>
          <t>N/A</t>
        </is>
      </c>
      <c r="EN2" s="20" t="inlineStr">
        <is>
          <t>N/A</t>
        </is>
      </c>
      <c r="EO2" s="20" t="inlineStr">
        <is>
          <t>N/A</t>
        </is>
      </c>
      <c r="EP2" s="20" t="inlineStr">
        <is>
          <t>N/A</t>
        </is>
      </c>
      <c r="EQ2" s="20" t="inlineStr">
        <is>
          <t>N/A</t>
        </is>
      </c>
      <c r="ER2" s="20" t="inlineStr">
        <is>
          <t>N/A</t>
        </is>
      </c>
      <c r="ES2" s="20" t="inlineStr">
        <is>
          <t>N/A</t>
        </is>
      </c>
      <c r="ET2" s="20" t="inlineStr">
        <is>
          <t>N/A</t>
        </is>
      </c>
      <c r="EU2" s="20" t="inlineStr">
        <is>
          <t>N/A</t>
        </is>
      </c>
      <c r="EV2" s="20" t="inlineStr">
        <is>
          <t>N/A</t>
        </is>
      </c>
      <c r="EW2" s="20" t="inlineStr">
        <is>
          <t>N/A</t>
        </is>
      </c>
      <c r="EX2" s="20" t="inlineStr">
        <is>
          <t>N/A</t>
        </is>
      </c>
      <c r="EY2" s="20" t="inlineStr">
        <is>
          <t>N/A</t>
        </is>
      </c>
      <c r="FA2" s="20" t="inlineStr">
        <is>
          <t>N/A</t>
        </is>
      </c>
      <c r="FB2" s="20" t="inlineStr">
        <is>
          <t>N/A</t>
        </is>
      </c>
      <c r="FC2" s="20" t="inlineStr">
        <is>
          <t>N/A</t>
        </is>
      </c>
      <c r="FD2" s="20" t="inlineStr">
        <is>
          <t>N/A</t>
        </is>
      </c>
      <c r="FE2" s="20" t="inlineStr">
        <is>
          <t>N/A</t>
        </is>
      </c>
      <c r="FF2" s="20" t="inlineStr">
        <is>
          <t>N/A</t>
        </is>
      </c>
      <c r="FG2" s="20" t="inlineStr">
        <is>
          <t>N/A</t>
        </is>
      </c>
      <c r="FH2" s="20" t="inlineStr">
        <is>
          <t>N/A</t>
        </is>
      </c>
      <c r="FI2" s="20" t="inlineStr">
        <is>
          <t>N/A</t>
        </is>
      </c>
      <c r="FK2" s="20" t="inlineStr">
        <is>
          <t>N/A</t>
        </is>
      </c>
      <c r="FL2" s="20" t="inlineStr">
        <is>
          <t>N/A</t>
        </is>
      </c>
      <c r="FM2" s="20" t="inlineStr">
        <is>
          <t>N/A</t>
        </is>
      </c>
      <c r="FN2" s="20" t="inlineStr">
        <is>
          <t>N/A</t>
        </is>
      </c>
      <c r="FO2" s="20" t="inlineStr">
        <is>
          <t>N/A</t>
        </is>
      </c>
      <c r="FP2" s="20" t="inlineStr">
        <is>
          <t>N/A</t>
        </is>
      </c>
      <c r="FQ2" s="20" t="inlineStr">
        <is>
          <t>N/A</t>
        </is>
      </c>
      <c r="FS2" s="20" t="inlineStr">
        <is>
          <t>N/A</t>
        </is>
      </c>
      <c r="FT2" s="20" t="inlineStr">
        <is>
          <t>N/A</t>
        </is>
      </c>
      <c r="FU2" s="20" t="inlineStr">
        <is>
          <t>N/A</t>
        </is>
      </c>
      <c r="FV2" s="20" t="inlineStr">
        <is>
          <t>N/A</t>
        </is>
      </c>
      <c r="FW2" s="20" t="inlineStr">
        <is>
          <t>N/A</t>
        </is>
      </c>
      <c r="FX2" s="20" t="inlineStr">
        <is>
          <t>N/A</t>
        </is>
      </c>
      <c r="FY2" s="20" t="inlineStr">
        <is>
          <t>N/A</t>
        </is>
      </c>
      <c r="FZ2" s="20" t="inlineStr">
        <is>
          <t>N/A</t>
        </is>
      </c>
      <c r="GA2" s="20" t="inlineStr">
        <is>
          <t>N/A</t>
        </is>
      </c>
      <c r="GB2" s="20" t="inlineStr">
        <is>
          <t>N/A</t>
        </is>
      </c>
      <c r="GC2" s="20" t="inlineStr">
        <is>
          <t>N/A</t>
        </is>
      </c>
      <c r="GD2" s="20" t="inlineStr">
        <is>
          <t>N/A</t>
        </is>
      </c>
      <c r="GE2" s="20" t="inlineStr">
        <is>
          <t>N/A</t>
        </is>
      </c>
      <c r="GF2" s="20" t="inlineStr">
        <is>
          <t>N/A</t>
        </is>
      </c>
      <c r="GG2" s="20" t="inlineStr">
        <is>
          <t>N/A</t>
        </is>
      </c>
    </row>
    <row r="3" ht="15" customHeight="1" s="21">
      <c r="A3" s="20" t="n">
        <v>2</v>
      </c>
      <c r="B3" s="20" t="inlineStr">
        <is>
          <t>1980-01-01 00:00:00</t>
        </is>
      </c>
      <c r="C3" s="20" t="n">
        <v>25</v>
      </c>
      <c r="D3" s="20" t="inlineStr">
        <is>
          <t>en</t>
        </is>
      </c>
      <c r="E3" s="20" t="n">
        <v>1478178211</v>
      </c>
      <c r="F3" s="20" t="inlineStr">
        <is>
          <t>Faculty / Academic staff</t>
        </is>
      </c>
      <c r="H3" s="20" t="inlineStr">
        <is>
          <t>Not important</t>
        </is>
      </c>
      <c r="I3" s="20" t="inlineStr">
        <is>
          <t>N/A</t>
        </is>
      </c>
      <c r="J3" s="20" t="inlineStr">
        <is>
          <t>N/A</t>
        </is>
      </c>
      <c r="K3" s="20" t="inlineStr">
        <is>
          <t>N/A</t>
        </is>
      </c>
      <c r="L3" s="20" t="inlineStr">
        <is>
          <t>N/A</t>
        </is>
      </c>
      <c r="M3" s="20" t="inlineStr">
        <is>
          <t>N/A</t>
        </is>
      </c>
      <c r="N3" s="20" t="inlineStr">
        <is>
          <t>N/A</t>
        </is>
      </c>
      <c r="O3" s="20" t="inlineStr">
        <is>
          <t>N/A</t>
        </is>
      </c>
      <c r="P3" s="20" t="inlineStr">
        <is>
          <t>N/A</t>
        </is>
      </c>
      <c r="R3" s="20" t="inlineStr">
        <is>
          <t>Somewhat confident</t>
        </is>
      </c>
      <c r="T3" s="20" t="inlineStr">
        <is>
          <t>N/A</t>
        </is>
      </c>
      <c r="U3" s="20" t="inlineStr">
        <is>
          <t>N/A</t>
        </is>
      </c>
      <c r="V3" s="20" t="inlineStr">
        <is>
          <t>N/A</t>
        </is>
      </c>
      <c r="W3" s="20" t="inlineStr">
        <is>
          <t>N/A</t>
        </is>
      </c>
      <c r="X3" s="20" t="inlineStr">
        <is>
          <t>Yes</t>
        </is>
      </c>
      <c r="Y3" s="20" t="inlineStr">
        <is>
          <t>Scout response</t>
        </is>
      </c>
      <c r="Z3" s="20" t="inlineStr">
        <is>
          <t>N/A</t>
        </is>
      </c>
      <c r="AA3" s="20" t="inlineStr">
        <is>
          <t>N/A</t>
        </is>
      </c>
      <c r="AB3" s="20" t="inlineStr">
        <is>
          <t>N/A</t>
        </is>
      </c>
      <c r="AC3" s="20" t="inlineStr">
        <is>
          <t>N/A</t>
        </is>
      </c>
      <c r="AD3" s="20" t="inlineStr">
        <is>
          <t>N/A</t>
        </is>
      </c>
      <c r="AE3" s="20" t="inlineStr">
        <is>
          <t>N/A</t>
        </is>
      </c>
      <c r="AF3" s="20" t="inlineStr">
        <is>
          <t>Yes</t>
        </is>
      </c>
      <c r="AG3" s="20" t="inlineStr">
        <is>
          <t>Scout response</t>
        </is>
      </c>
      <c r="AH3" s="20" t="inlineStr">
        <is>
          <t>N/A</t>
        </is>
      </c>
      <c r="AI3" s="20" t="inlineStr">
        <is>
          <t>N/A</t>
        </is>
      </c>
      <c r="AJ3" s="20" t="inlineStr">
        <is>
          <t>N/A</t>
        </is>
      </c>
      <c r="AK3" s="20" t="inlineStr">
        <is>
          <t>Yes</t>
        </is>
      </c>
      <c r="AL3" s="20" t="inlineStr">
        <is>
          <t>Scout response</t>
        </is>
      </c>
      <c r="AM3" s="20" t="inlineStr">
        <is>
          <t>N/A</t>
        </is>
      </c>
      <c r="AN3" s="20" t="inlineStr">
        <is>
          <t>N/A</t>
        </is>
      </c>
      <c r="AO3" s="20" t="inlineStr">
        <is>
          <t>N/A</t>
        </is>
      </c>
      <c r="AP3" s="20" t="inlineStr">
        <is>
          <t>N/A</t>
        </is>
      </c>
      <c r="AQ3" s="20" t="inlineStr">
        <is>
          <t>N/A</t>
        </is>
      </c>
      <c r="AR3" s="20" t="inlineStr">
        <is>
          <t>N/A</t>
        </is>
      </c>
      <c r="AS3" s="20" t="inlineStr">
        <is>
          <t>Yes</t>
        </is>
      </c>
      <c r="AT3" s="20" t="inlineStr">
        <is>
          <t>Scout response</t>
        </is>
      </c>
      <c r="AU3" s="20" t="inlineStr">
        <is>
          <t>N/A</t>
        </is>
      </c>
      <c r="AV3" s="20" t="inlineStr">
        <is>
          <t>N/A</t>
        </is>
      </c>
      <c r="AW3" s="20" t="inlineStr">
        <is>
          <t>N/A</t>
        </is>
      </c>
      <c r="AX3" s="20" t="inlineStr">
        <is>
          <t>N/A</t>
        </is>
      </c>
      <c r="AY3" s="20" t="inlineStr">
        <is>
          <t>N/A</t>
        </is>
      </c>
      <c r="AZ3" s="20" t="inlineStr">
        <is>
          <t>Yes</t>
        </is>
      </c>
      <c r="BA3" s="20" t="inlineStr">
        <is>
          <t>Scout response</t>
        </is>
      </c>
      <c r="BB3" s="20" t="inlineStr">
        <is>
          <t>N/A</t>
        </is>
      </c>
      <c r="BC3" s="20" t="inlineStr">
        <is>
          <t>N/A</t>
        </is>
      </c>
      <c r="BD3" s="20" t="inlineStr">
        <is>
          <t>N/A</t>
        </is>
      </c>
      <c r="BE3" s="20" t="inlineStr">
        <is>
          <t>N/A</t>
        </is>
      </c>
      <c r="BF3" s="20" t="inlineStr">
        <is>
          <t>N/A</t>
        </is>
      </c>
      <c r="BG3" s="20" t="inlineStr">
        <is>
          <t>Yes</t>
        </is>
      </c>
      <c r="BH3" s="20" t="inlineStr">
        <is>
          <t>Scout response</t>
        </is>
      </c>
      <c r="BI3" s="20" t="inlineStr">
        <is>
          <t>N/A</t>
        </is>
      </c>
      <c r="BJ3" s="20" t="inlineStr">
        <is>
          <t>N/A</t>
        </is>
      </c>
      <c r="BK3" s="20" t="inlineStr">
        <is>
          <t>N/A</t>
        </is>
      </c>
      <c r="BL3" s="20" t="inlineStr">
        <is>
          <t>N/A</t>
        </is>
      </c>
      <c r="BM3" s="20" t="inlineStr">
        <is>
          <t>N/A</t>
        </is>
      </c>
      <c r="BN3" s="20" t="inlineStr">
        <is>
          <t>N/A</t>
        </is>
      </c>
      <c r="BO3" s="20" t="inlineStr">
        <is>
          <t>N/A</t>
        </is>
      </c>
      <c r="BP3" s="20" t="inlineStr">
        <is>
          <t>N/A</t>
        </is>
      </c>
      <c r="BQ3" s="20" t="inlineStr">
        <is>
          <t>Yes</t>
        </is>
      </c>
      <c r="BR3" s="20" t="inlineStr">
        <is>
          <t>Scout response</t>
        </is>
      </c>
      <c r="BS3" s="20" t="inlineStr">
        <is>
          <t>N/A</t>
        </is>
      </c>
      <c r="BT3" s="20" t="inlineStr">
        <is>
          <t>N/A</t>
        </is>
      </c>
      <c r="BU3" s="20" t="inlineStr">
        <is>
          <t>N/A</t>
        </is>
      </c>
      <c r="BV3" s="20" t="inlineStr">
        <is>
          <t>N/A</t>
        </is>
      </c>
      <c r="BW3" s="20" t="inlineStr">
        <is>
          <t>N/A</t>
        </is>
      </c>
      <c r="BX3" s="20" t="inlineStr">
        <is>
          <t>N/A</t>
        </is>
      </c>
      <c r="BY3" s="20" t="inlineStr">
        <is>
          <t>N/A</t>
        </is>
      </c>
      <c r="BZ3" s="20" t="inlineStr">
        <is>
          <t>Yes</t>
        </is>
      </c>
      <c r="CA3" s="20" t="inlineStr">
        <is>
          <t>Scout response</t>
        </is>
      </c>
      <c r="CC3" s="20" t="inlineStr">
        <is>
          <t>N/A</t>
        </is>
      </c>
      <c r="CD3" s="20" t="inlineStr">
        <is>
          <t>N/A</t>
        </is>
      </c>
      <c r="CE3" s="20" t="inlineStr">
        <is>
          <t>N/A</t>
        </is>
      </c>
      <c r="CF3" s="20" t="inlineStr">
        <is>
          <t>N/A</t>
        </is>
      </c>
      <c r="CG3" s="20" t="inlineStr">
        <is>
          <t>N/A</t>
        </is>
      </c>
      <c r="CH3" s="20" t="inlineStr">
        <is>
          <t>N/A</t>
        </is>
      </c>
      <c r="CI3" s="20" t="inlineStr">
        <is>
          <t>Yes</t>
        </is>
      </c>
      <c r="CJ3" s="20" t="inlineStr">
        <is>
          <t>Scout response</t>
        </is>
      </c>
      <c r="CK3" s="20" t="inlineStr">
        <is>
          <t>N/A</t>
        </is>
      </c>
      <c r="CL3" s="20" t="inlineStr">
        <is>
          <t>N/A</t>
        </is>
      </c>
      <c r="CM3" s="20" t="inlineStr">
        <is>
          <t>N/A</t>
        </is>
      </c>
      <c r="CN3" s="20" t="inlineStr">
        <is>
          <t>Yes</t>
        </is>
      </c>
      <c r="CO3" s="20" t="inlineStr">
        <is>
          <t>Scout response</t>
        </is>
      </c>
      <c r="CP3" s="20" t="inlineStr">
        <is>
          <t>N/A</t>
        </is>
      </c>
      <c r="CQ3" s="20" t="inlineStr">
        <is>
          <t>N/A</t>
        </is>
      </c>
      <c r="CR3" s="20" t="inlineStr">
        <is>
          <t>N/A</t>
        </is>
      </c>
      <c r="CS3" s="20" t="inlineStr">
        <is>
          <t>N/A</t>
        </is>
      </c>
      <c r="CT3" s="20" t="inlineStr">
        <is>
          <t>Yes</t>
        </is>
      </c>
      <c r="CU3" s="20" t="inlineStr">
        <is>
          <t>Scout response</t>
        </is>
      </c>
      <c r="CV3" s="20" t="inlineStr">
        <is>
          <t>N/A</t>
        </is>
      </c>
      <c r="CW3" s="20" t="inlineStr">
        <is>
          <t>N/A</t>
        </is>
      </c>
      <c r="CX3" s="20" t="inlineStr">
        <is>
          <t>N/A</t>
        </is>
      </c>
      <c r="CY3" s="20" t="inlineStr">
        <is>
          <t>N/A</t>
        </is>
      </c>
      <c r="CZ3" s="20" t="inlineStr">
        <is>
          <t>Yes</t>
        </is>
      </c>
      <c r="DA3" s="20" t="inlineStr">
        <is>
          <t>Scout response</t>
        </is>
      </c>
      <c r="DB3" s="20" t="inlineStr">
        <is>
          <t>N/A</t>
        </is>
      </c>
      <c r="DC3" s="20" t="inlineStr">
        <is>
          <t>N/A</t>
        </is>
      </c>
      <c r="DD3" s="20" t="inlineStr">
        <is>
          <t>N/A</t>
        </is>
      </c>
      <c r="DE3" s="20" t="inlineStr">
        <is>
          <t>N/A</t>
        </is>
      </c>
      <c r="DF3" s="20" t="inlineStr">
        <is>
          <t>Yes</t>
        </is>
      </c>
      <c r="DG3" s="20" t="inlineStr">
        <is>
          <t>Scout response</t>
        </is>
      </c>
      <c r="DH3" s="20" t="inlineStr">
        <is>
          <t>N/A</t>
        </is>
      </c>
      <c r="DI3" s="20" t="inlineStr">
        <is>
          <t>N/A</t>
        </is>
      </c>
      <c r="DJ3" s="20" t="inlineStr">
        <is>
          <t>N/A</t>
        </is>
      </c>
      <c r="DK3" s="20" t="inlineStr">
        <is>
          <t>N/A</t>
        </is>
      </c>
      <c r="DL3" s="20" t="inlineStr">
        <is>
          <t>N/A</t>
        </is>
      </c>
      <c r="DM3" s="20" t="inlineStr">
        <is>
          <t>N/A</t>
        </is>
      </c>
      <c r="DN3" s="20" t="inlineStr">
        <is>
          <t>N/A</t>
        </is>
      </c>
      <c r="DO3" s="20" t="inlineStr">
        <is>
          <t>N/A</t>
        </is>
      </c>
      <c r="DP3" s="20" t="inlineStr">
        <is>
          <t>Yes</t>
        </is>
      </c>
      <c r="DQ3" s="20" t="inlineStr">
        <is>
          <t>Scout response</t>
        </is>
      </c>
      <c r="DR3" s="20" t="inlineStr">
        <is>
          <t>N/A</t>
        </is>
      </c>
      <c r="DS3" s="20" t="inlineStr">
        <is>
          <t>N/A</t>
        </is>
      </c>
      <c r="DT3" s="20" t="inlineStr">
        <is>
          <t>N/A</t>
        </is>
      </c>
      <c r="DU3" s="20" t="inlineStr">
        <is>
          <t>N/A</t>
        </is>
      </c>
      <c r="DV3" s="20" t="inlineStr">
        <is>
          <t>N/A</t>
        </is>
      </c>
      <c r="DW3" s="20" t="inlineStr">
        <is>
          <t>Yes</t>
        </is>
      </c>
      <c r="DX3" s="20" t="inlineStr">
        <is>
          <t>Scout response</t>
        </is>
      </c>
      <c r="DZ3" s="20" t="inlineStr">
        <is>
          <t>No</t>
        </is>
      </c>
      <c r="EA3" s="20" t="inlineStr">
        <is>
          <t>N/A</t>
        </is>
      </c>
      <c r="EB3" s="20" t="inlineStr">
        <is>
          <t>N/A</t>
        </is>
      </c>
      <c r="EC3" s="20" t="inlineStr">
        <is>
          <t>N/A</t>
        </is>
      </c>
      <c r="ED3" s="20" t="inlineStr">
        <is>
          <t>N/A</t>
        </is>
      </c>
      <c r="EE3" s="20" t="inlineStr">
        <is>
          <t>N/A</t>
        </is>
      </c>
      <c r="EG3" s="20" t="inlineStr">
        <is>
          <t>N/A</t>
        </is>
      </c>
      <c r="EH3" s="20" t="inlineStr">
        <is>
          <t>N/A</t>
        </is>
      </c>
      <c r="EI3" s="20" t="inlineStr">
        <is>
          <t>N/A</t>
        </is>
      </c>
      <c r="EJ3" s="20" t="inlineStr">
        <is>
          <t>N/A</t>
        </is>
      </c>
      <c r="EK3" s="20" t="inlineStr">
        <is>
          <t>N/A</t>
        </is>
      </c>
      <c r="EL3" s="20" t="inlineStr">
        <is>
          <t>N/A</t>
        </is>
      </c>
      <c r="EM3" s="20" t="inlineStr">
        <is>
          <t>N/A</t>
        </is>
      </c>
      <c r="EN3" s="20" t="inlineStr">
        <is>
          <t>N/A</t>
        </is>
      </c>
      <c r="EO3" s="20" t="inlineStr">
        <is>
          <t>N/A</t>
        </is>
      </c>
      <c r="EP3" s="20" t="inlineStr">
        <is>
          <t>N/A</t>
        </is>
      </c>
      <c r="EQ3" s="20" t="inlineStr">
        <is>
          <t>N/A</t>
        </is>
      </c>
      <c r="ER3" s="20" t="inlineStr">
        <is>
          <t>N/A</t>
        </is>
      </c>
      <c r="ES3" s="20" t="inlineStr">
        <is>
          <t>N/A</t>
        </is>
      </c>
      <c r="ET3" s="20" t="inlineStr">
        <is>
          <t>N/A</t>
        </is>
      </c>
      <c r="EU3" s="20" t="inlineStr">
        <is>
          <t>N/A</t>
        </is>
      </c>
      <c r="EV3" s="20" t="inlineStr">
        <is>
          <t>N/A</t>
        </is>
      </c>
      <c r="EW3" s="20" t="inlineStr">
        <is>
          <t>N/A</t>
        </is>
      </c>
      <c r="EX3" s="20" t="inlineStr">
        <is>
          <t>N/A</t>
        </is>
      </c>
      <c r="EY3" s="20" t="inlineStr">
        <is>
          <t>N/A</t>
        </is>
      </c>
      <c r="FA3" s="20" t="inlineStr">
        <is>
          <t>N/A</t>
        </is>
      </c>
      <c r="FB3" s="20" t="inlineStr">
        <is>
          <t>N/A</t>
        </is>
      </c>
      <c r="FC3" s="20" t="inlineStr">
        <is>
          <t>N/A</t>
        </is>
      </c>
      <c r="FD3" s="20" t="inlineStr">
        <is>
          <t>N/A</t>
        </is>
      </c>
      <c r="FE3" s="20" t="inlineStr">
        <is>
          <t>N/A</t>
        </is>
      </c>
      <c r="FF3" s="20" t="inlineStr">
        <is>
          <t>N/A</t>
        </is>
      </c>
      <c r="FG3" s="20" t="inlineStr">
        <is>
          <t>N/A</t>
        </is>
      </c>
      <c r="FH3" s="20" t="inlineStr">
        <is>
          <t>N/A</t>
        </is>
      </c>
      <c r="FI3" s="20" t="inlineStr">
        <is>
          <t>N/A</t>
        </is>
      </c>
      <c r="FK3" s="20" t="inlineStr">
        <is>
          <t>N/A</t>
        </is>
      </c>
      <c r="FL3" s="20" t="inlineStr">
        <is>
          <t>N/A</t>
        </is>
      </c>
      <c r="FM3" s="20" t="inlineStr">
        <is>
          <t>N/A</t>
        </is>
      </c>
      <c r="FN3" s="20" t="inlineStr">
        <is>
          <t>N/A</t>
        </is>
      </c>
      <c r="FO3" s="20" t="inlineStr">
        <is>
          <t>N/A</t>
        </is>
      </c>
      <c r="FP3" s="20" t="inlineStr">
        <is>
          <t>N/A</t>
        </is>
      </c>
      <c r="FQ3" s="20" t="inlineStr">
        <is>
          <t>N/A</t>
        </is>
      </c>
      <c r="FS3" s="20" t="inlineStr">
        <is>
          <t>N/A</t>
        </is>
      </c>
      <c r="FT3" s="20" t="inlineStr">
        <is>
          <t>N/A</t>
        </is>
      </c>
      <c r="FU3" s="20" t="inlineStr">
        <is>
          <t>N/A</t>
        </is>
      </c>
      <c r="FV3" s="20" t="inlineStr">
        <is>
          <t>N/A</t>
        </is>
      </c>
      <c r="FW3" s="20" t="inlineStr">
        <is>
          <t>N/A</t>
        </is>
      </c>
      <c r="FX3" s="20" t="inlineStr">
        <is>
          <t>N/A</t>
        </is>
      </c>
      <c r="FY3" s="20" t="inlineStr">
        <is>
          <t>N/A</t>
        </is>
      </c>
      <c r="FZ3" s="20" t="inlineStr">
        <is>
          <t>N/A</t>
        </is>
      </c>
      <c r="GA3" s="20" t="inlineStr">
        <is>
          <t>N/A</t>
        </is>
      </c>
      <c r="GB3" s="20" t="inlineStr">
        <is>
          <t>N/A</t>
        </is>
      </c>
      <c r="GC3" s="20" t="inlineStr">
        <is>
          <t>N/A</t>
        </is>
      </c>
      <c r="GD3" s="20" t="inlineStr">
        <is>
          <t>N/A</t>
        </is>
      </c>
      <c r="GE3" s="20" t="inlineStr">
        <is>
          <t>N/A</t>
        </is>
      </c>
      <c r="GF3" s="20" t="inlineStr">
        <is>
          <t>N/A</t>
        </is>
      </c>
      <c r="GG3" s="20" t="inlineStr">
        <is>
          <t>N/A</t>
        </is>
      </c>
      <c r="GI3" s="20" t="inlineStr">
        <is>
          <t>Scout response</t>
        </is>
      </c>
    </row>
    <row r="4" ht="15" customHeight="1" s="21">
      <c r="A4" s="20" t="n">
        <v>3</v>
      </c>
      <c r="B4" s="20" t="n"/>
      <c r="C4" s="20" t="n">
        <v>1</v>
      </c>
      <c r="D4" s="20" t="inlineStr">
        <is>
          <t>en</t>
        </is>
      </c>
      <c r="E4" s="20" t="n">
        <v>1521051725</v>
      </c>
      <c r="F4" s="20" t="inlineStr">
        <is>
          <t>Faculty / Academic staff</t>
        </is>
      </c>
      <c r="G4" s="20" t="inlineStr">
        <is>
          <t>Computer Science Department</t>
        </is>
      </c>
      <c r="H4" s="20" t="inlineStr">
        <is>
          <t>Critical</t>
        </is>
      </c>
      <c r="I4" s="20" t="inlineStr">
        <is>
          <t>No</t>
        </is>
      </c>
      <c r="J4" s="20" t="inlineStr">
        <is>
          <t>No</t>
        </is>
      </c>
      <c r="K4" s="20" t="inlineStr">
        <is>
          <t>No</t>
        </is>
      </c>
      <c r="L4" s="20" t="inlineStr">
        <is>
          <t>No</t>
        </is>
      </c>
      <c r="M4" s="20" t="inlineStr">
        <is>
          <t>No</t>
        </is>
      </c>
      <c r="N4" s="20" t="inlineStr">
        <is>
          <t>No</t>
        </is>
      </c>
      <c r="O4" s="20" t="inlineStr">
        <is>
          <t>No</t>
        </is>
      </c>
      <c r="P4" s="20" t="inlineStr">
        <is>
          <t>No</t>
        </is>
      </c>
      <c r="R4" s="20" t="n"/>
      <c r="T4" s="20" t="inlineStr">
        <is>
          <t>N/A</t>
        </is>
      </c>
      <c r="U4" s="20" t="inlineStr">
        <is>
          <t>N/A</t>
        </is>
      </c>
      <c r="V4" s="20" t="inlineStr">
        <is>
          <t>N/A</t>
        </is>
      </c>
      <c r="W4" s="20" t="inlineStr">
        <is>
          <t>N/A</t>
        </is>
      </c>
      <c r="X4" s="20" t="inlineStr">
        <is>
          <t>N/A</t>
        </is>
      </c>
      <c r="Y4" s="20" t="n"/>
      <c r="Z4" s="20" t="inlineStr">
        <is>
          <t>N/A</t>
        </is>
      </c>
      <c r="AA4" s="20" t="inlineStr">
        <is>
          <t>N/A</t>
        </is>
      </c>
      <c r="AB4" s="20" t="inlineStr">
        <is>
          <t>N/A</t>
        </is>
      </c>
      <c r="AC4" s="20" t="inlineStr">
        <is>
          <t>N/A</t>
        </is>
      </c>
      <c r="AD4" s="20" t="inlineStr">
        <is>
          <t>N/A</t>
        </is>
      </c>
      <c r="AE4" s="20" t="inlineStr">
        <is>
          <t>N/A</t>
        </is>
      </c>
      <c r="AF4" s="20" t="inlineStr">
        <is>
          <t>N/A</t>
        </is>
      </c>
      <c r="AG4" s="20" t="n"/>
      <c r="AH4" s="20" t="inlineStr">
        <is>
          <t>N/A</t>
        </is>
      </c>
      <c r="AI4" s="20" t="inlineStr">
        <is>
          <t>N/A</t>
        </is>
      </c>
      <c r="AJ4" s="20" t="inlineStr">
        <is>
          <t>N/A</t>
        </is>
      </c>
      <c r="AK4" s="20" t="inlineStr">
        <is>
          <t>N/A</t>
        </is>
      </c>
      <c r="AL4" s="20" t="n"/>
      <c r="AM4" s="20" t="inlineStr">
        <is>
          <t>N/A</t>
        </is>
      </c>
      <c r="AN4" s="20" t="inlineStr">
        <is>
          <t>N/A</t>
        </is>
      </c>
      <c r="AO4" s="20" t="inlineStr">
        <is>
          <t>N/A</t>
        </is>
      </c>
      <c r="AP4" s="20" t="inlineStr">
        <is>
          <t>N/A</t>
        </is>
      </c>
      <c r="AQ4" s="20" t="inlineStr">
        <is>
          <t>N/A</t>
        </is>
      </c>
      <c r="AR4" s="20" t="inlineStr">
        <is>
          <t>N/A</t>
        </is>
      </c>
      <c r="AS4" s="20" t="inlineStr">
        <is>
          <t>N/A</t>
        </is>
      </c>
      <c r="AT4" s="20" t="n"/>
      <c r="AU4" s="20" t="inlineStr">
        <is>
          <t>N/A</t>
        </is>
      </c>
      <c r="AV4" s="20" t="inlineStr">
        <is>
          <t>N/A</t>
        </is>
      </c>
      <c r="AW4" s="20" t="inlineStr">
        <is>
          <t>N/A</t>
        </is>
      </c>
      <c r="AX4" s="20" t="inlineStr">
        <is>
          <t>N/A</t>
        </is>
      </c>
      <c r="AY4" s="20" t="inlineStr">
        <is>
          <t>N/A</t>
        </is>
      </c>
      <c r="AZ4" s="20" t="inlineStr">
        <is>
          <t>N/A</t>
        </is>
      </c>
      <c r="BA4" s="20" t="n"/>
      <c r="BB4" s="20" t="inlineStr">
        <is>
          <t>N/A</t>
        </is>
      </c>
      <c r="BC4" s="20" t="inlineStr">
        <is>
          <t>N/A</t>
        </is>
      </c>
      <c r="BD4" s="20" t="inlineStr">
        <is>
          <t>N/A</t>
        </is>
      </c>
      <c r="BE4" s="20" t="inlineStr">
        <is>
          <t>N/A</t>
        </is>
      </c>
      <c r="BF4" s="20" t="inlineStr">
        <is>
          <t>N/A</t>
        </is>
      </c>
      <c r="BG4" s="20" t="inlineStr">
        <is>
          <t>N/A</t>
        </is>
      </c>
      <c r="BH4" s="20" t="n"/>
      <c r="BI4" s="20" t="inlineStr">
        <is>
          <t>N/A</t>
        </is>
      </c>
      <c r="BJ4" s="20" t="inlineStr">
        <is>
          <t>N/A</t>
        </is>
      </c>
      <c r="BK4" s="20" t="inlineStr">
        <is>
          <t>N/A</t>
        </is>
      </c>
      <c r="BL4" s="20" t="inlineStr">
        <is>
          <t>N/A</t>
        </is>
      </c>
      <c r="BM4" s="20" t="inlineStr">
        <is>
          <t>N/A</t>
        </is>
      </c>
      <c r="BN4" s="20" t="inlineStr">
        <is>
          <t>N/A</t>
        </is>
      </c>
      <c r="BO4" s="20" t="inlineStr">
        <is>
          <t>N/A</t>
        </is>
      </c>
      <c r="BP4" s="20" t="inlineStr">
        <is>
          <t>N/A</t>
        </is>
      </c>
      <c r="BQ4" s="20" t="inlineStr">
        <is>
          <t>N/A</t>
        </is>
      </c>
      <c r="BR4" s="20" t="n"/>
      <c r="BS4" s="20" t="inlineStr">
        <is>
          <t>N/A</t>
        </is>
      </c>
      <c r="BT4" s="20" t="inlineStr">
        <is>
          <t>N/A</t>
        </is>
      </c>
      <c r="BU4" s="20" t="inlineStr">
        <is>
          <t>N/A</t>
        </is>
      </c>
      <c r="BV4" s="20" t="inlineStr">
        <is>
          <t>N/A</t>
        </is>
      </c>
      <c r="BW4" s="20" t="inlineStr">
        <is>
          <t>N/A</t>
        </is>
      </c>
      <c r="BX4" s="20" t="inlineStr">
        <is>
          <t>N/A</t>
        </is>
      </c>
      <c r="BY4" s="20" t="inlineStr">
        <is>
          <t>N/A</t>
        </is>
      </c>
      <c r="BZ4" s="20" t="inlineStr">
        <is>
          <t>N/A</t>
        </is>
      </c>
      <c r="CA4" s="20" t="n"/>
      <c r="CC4" s="20" t="inlineStr">
        <is>
          <t>N/A</t>
        </is>
      </c>
      <c r="CD4" s="20" t="inlineStr">
        <is>
          <t>N/A</t>
        </is>
      </c>
      <c r="CE4" s="20" t="inlineStr">
        <is>
          <t>N/A</t>
        </is>
      </c>
      <c r="CF4" s="20" t="inlineStr">
        <is>
          <t>N/A</t>
        </is>
      </c>
      <c r="CG4" s="20" t="inlineStr">
        <is>
          <t>N/A</t>
        </is>
      </c>
      <c r="CH4" s="20" t="inlineStr">
        <is>
          <t>N/A</t>
        </is>
      </c>
      <c r="CI4" s="20" t="inlineStr">
        <is>
          <t>N/A</t>
        </is>
      </c>
      <c r="CJ4" s="20" t="n"/>
      <c r="CK4" s="20" t="inlineStr">
        <is>
          <t>N/A</t>
        </is>
      </c>
      <c r="CL4" s="20" t="inlineStr">
        <is>
          <t>N/A</t>
        </is>
      </c>
      <c r="CM4" s="20" t="inlineStr">
        <is>
          <t>N/A</t>
        </is>
      </c>
      <c r="CN4" s="20" t="inlineStr">
        <is>
          <t>N/A</t>
        </is>
      </c>
      <c r="CO4" s="20" t="n"/>
      <c r="CP4" s="20" t="inlineStr">
        <is>
          <t>N/A</t>
        </is>
      </c>
      <c r="CQ4" s="20" t="inlineStr">
        <is>
          <t>N/A</t>
        </is>
      </c>
      <c r="CR4" s="20" t="inlineStr">
        <is>
          <t>N/A</t>
        </is>
      </c>
      <c r="CS4" s="20" t="inlineStr">
        <is>
          <t>N/A</t>
        </is>
      </c>
      <c r="CT4" s="20" t="inlineStr">
        <is>
          <t>N/A</t>
        </is>
      </c>
      <c r="CU4" s="20" t="n"/>
      <c r="CV4" s="20" t="inlineStr">
        <is>
          <t>N/A</t>
        </is>
      </c>
      <c r="CW4" s="20" t="inlineStr">
        <is>
          <t>N/A</t>
        </is>
      </c>
      <c r="CX4" s="20" t="inlineStr">
        <is>
          <t>N/A</t>
        </is>
      </c>
      <c r="CY4" s="20" t="inlineStr">
        <is>
          <t>N/A</t>
        </is>
      </c>
      <c r="CZ4" s="20" t="inlineStr">
        <is>
          <t>N/A</t>
        </is>
      </c>
      <c r="DA4" s="20" t="n"/>
      <c r="DB4" s="20" t="inlineStr">
        <is>
          <t>N/A</t>
        </is>
      </c>
      <c r="DC4" s="20" t="inlineStr">
        <is>
          <t>N/A</t>
        </is>
      </c>
      <c r="DD4" s="20" t="inlineStr">
        <is>
          <t>N/A</t>
        </is>
      </c>
      <c r="DE4" s="20" t="inlineStr">
        <is>
          <t>N/A</t>
        </is>
      </c>
      <c r="DF4" s="20" t="inlineStr">
        <is>
          <t>N/A</t>
        </is>
      </c>
      <c r="DG4" s="20" t="n"/>
      <c r="DH4" s="20" t="inlineStr">
        <is>
          <t>N/A</t>
        </is>
      </c>
      <c r="DI4" s="20" t="inlineStr">
        <is>
          <t>N/A</t>
        </is>
      </c>
      <c r="DJ4" s="20" t="inlineStr">
        <is>
          <t>N/A</t>
        </is>
      </c>
      <c r="DK4" s="20" t="inlineStr">
        <is>
          <t>N/A</t>
        </is>
      </c>
      <c r="DL4" s="20" t="inlineStr">
        <is>
          <t>N/A</t>
        </is>
      </c>
      <c r="DM4" s="20" t="inlineStr">
        <is>
          <t>N/A</t>
        </is>
      </c>
      <c r="DN4" s="20" t="inlineStr">
        <is>
          <t>N/A</t>
        </is>
      </c>
      <c r="DO4" s="20" t="inlineStr">
        <is>
          <t>N/A</t>
        </is>
      </c>
      <c r="DP4" s="20" t="inlineStr">
        <is>
          <t>N/A</t>
        </is>
      </c>
      <c r="DQ4" s="20" t="n"/>
      <c r="DR4" s="20" t="inlineStr">
        <is>
          <t>N/A</t>
        </is>
      </c>
      <c r="DS4" s="20" t="inlineStr">
        <is>
          <t>N/A</t>
        </is>
      </c>
      <c r="DT4" s="20" t="inlineStr">
        <is>
          <t>N/A</t>
        </is>
      </c>
      <c r="DU4" s="20" t="inlineStr">
        <is>
          <t>N/A</t>
        </is>
      </c>
      <c r="DV4" s="20" t="inlineStr">
        <is>
          <t>N/A</t>
        </is>
      </c>
      <c r="DW4" s="20" t="inlineStr">
        <is>
          <t>N/A</t>
        </is>
      </c>
      <c r="DX4" s="20" t="n"/>
      <c r="DZ4" s="20" t="inlineStr">
        <is>
          <t>N/A</t>
        </is>
      </c>
      <c r="EA4" s="20" t="inlineStr">
        <is>
          <t>N/A</t>
        </is>
      </c>
      <c r="EB4" s="20" t="inlineStr">
        <is>
          <t>N/A</t>
        </is>
      </c>
      <c r="EC4" s="20" t="inlineStr">
        <is>
          <t>N/A</t>
        </is>
      </c>
      <c r="ED4" s="20" t="inlineStr">
        <is>
          <t>N/A</t>
        </is>
      </c>
      <c r="EE4" s="20" t="inlineStr">
        <is>
          <t>N/A</t>
        </is>
      </c>
      <c r="EG4" s="20" t="inlineStr">
        <is>
          <t>N/A</t>
        </is>
      </c>
      <c r="EH4" s="20" t="inlineStr">
        <is>
          <t>N/A</t>
        </is>
      </c>
      <c r="EI4" s="20" t="inlineStr">
        <is>
          <t>N/A</t>
        </is>
      </c>
      <c r="EJ4" s="20" t="inlineStr">
        <is>
          <t>N/A</t>
        </is>
      </c>
      <c r="EK4" s="20" t="inlineStr">
        <is>
          <t>N/A</t>
        </is>
      </c>
      <c r="EL4" s="20" t="inlineStr">
        <is>
          <t>N/A</t>
        </is>
      </c>
      <c r="EM4" s="20" t="inlineStr">
        <is>
          <t>N/A</t>
        </is>
      </c>
      <c r="EN4" s="20" t="inlineStr">
        <is>
          <t>N/A</t>
        </is>
      </c>
      <c r="EO4" s="20" t="inlineStr">
        <is>
          <t>N/A</t>
        </is>
      </c>
      <c r="EP4" s="20" t="inlineStr">
        <is>
          <t>N/A</t>
        </is>
      </c>
      <c r="EQ4" s="20" t="inlineStr">
        <is>
          <t>N/A</t>
        </is>
      </c>
      <c r="ER4" s="20" t="inlineStr">
        <is>
          <t>N/A</t>
        </is>
      </c>
      <c r="ES4" s="20" t="inlineStr">
        <is>
          <t>N/A</t>
        </is>
      </c>
      <c r="ET4" s="20" t="inlineStr">
        <is>
          <t>N/A</t>
        </is>
      </c>
      <c r="EU4" s="20" t="inlineStr">
        <is>
          <t>N/A</t>
        </is>
      </c>
      <c r="EV4" s="20" t="inlineStr">
        <is>
          <t>N/A</t>
        </is>
      </c>
      <c r="EW4" s="20" t="inlineStr">
        <is>
          <t>N/A</t>
        </is>
      </c>
      <c r="EX4" s="20" t="inlineStr">
        <is>
          <t>N/A</t>
        </is>
      </c>
      <c r="EY4" s="20" t="inlineStr">
        <is>
          <t>N/A</t>
        </is>
      </c>
      <c r="FA4" s="20" t="inlineStr">
        <is>
          <t>N/A</t>
        </is>
      </c>
      <c r="FB4" s="20" t="inlineStr">
        <is>
          <t>N/A</t>
        </is>
      </c>
      <c r="FC4" s="20" t="inlineStr">
        <is>
          <t>N/A</t>
        </is>
      </c>
      <c r="FD4" s="20" t="inlineStr">
        <is>
          <t>N/A</t>
        </is>
      </c>
      <c r="FE4" s="20" t="inlineStr">
        <is>
          <t>N/A</t>
        </is>
      </c>
      <c r="FF4" s="20" t="inlineStr">
        <is>
          <t>N/A</t>
        </is>
      </c>
      <c r="FG4" s="20" t="inlineStr">
        <is>
          <t>N/A</t>
        </is>
      </c>
      <c r="FH4" s="20" t="inlineStr">
        <is>
          <t>N/A</t>
        </is>
      </c>
      <c r="FI4" s="20" t="inlineStr">
        <is>
          <t>N/A</t>
        </is>
      </c>
      <c r="FK4" s="20" t="inlineStr">
        <is>
          <t>N/A</t>
        </is>
      </c>
      <c r="FL4" s="20" t="inlineStr">
        <is>
          <t>N/A</t>
        </is>
      </c>
      <c r="FM4" s="20" t="inlineStr">
        <is>
          <t>N/A</t>
        </is>
      </c>
      <c r="FN4" s="20" t="inlineStr">
        <is>
          <t>N/A</t>
        </is>
      </c>
      <c r="FO4" s="20" t="inlineStr">
        <is>
          <t>N/A</t>
        </is>
      </c>
      <c r="FP4" s="20" t="inlineStr">
        <is>
          <t>N/A</t>
        </is>
      </c>
      <c r="FQ4" s="20" t="inlineStr">
        <is>
          <t>N/A</t>
        </is>
      </c>
      <c r="FS4" s="20" t="inlineStr">
        <is>
          <t>N/A</t>
        </is>
      </c>
      <c r="FT4" s="20" t="inlineStr">
        <is>
          <t>N/A</t>
        </is>
      </c>
      <c r="FU4" s="20" t="inlineStr">
        <is>
          <t>N/A</t>
        </is>
      </c>
      <c r="FV4" s="20" t="inlineStr">
        <is>
          <t>N/A</t>
        </is>
      </c>
      <c r="FW4" s="20" t="inlineStr">
        <is>
          <t>N/A</t>
        </is>
      </c>
      <c r="FX4" s="20" t="inlineStr">
        <is>
          <t>N/A</t>
        </is>
      </c>
      <c r="FY4" s="20" t="inlineStr">
        <is>
          <t>N/A</t>
        </is>
      </c>
      <c r="FZ4" s="20" t="inlineStr">
        <is>
          <t>N/A</t>
        </is>
      </c>
      <c r="GA4" s="20" t="inlineStr">
        <is>
          <t>N/A</t>
        </is>
      </c>
      <c r="GB4" s="20" t="inlineStr">
        <is>
          <t>N/A</t>
        </is>
      </c>
      <c r="GC4" s="20" t="inlineStr">
        <is>
          <t>N/A</t>
        </is>
      </c>
      <c r="GD4" s="20" t="inlineStr">
        <is>
          <t>N/A</t>
        </is>
      </c>
      <c r="GE4" s="20" t="inlineStr">
        <is>
          <t>N/A</t>
        </is>
      </c>
      <c r="GF4" s="20" t="inlineStr">
        <is>
          <t>N/A</t>
        </is>
      </c>
      <c r="GG4" s="20" t="inlineStr">
        <is>
          <t>N/A</t>
        </is>
      </c>
      <c r="GI4" s="20" t="n"/>
    </row>
    <row r="5" ht="15" customHeight="1" s="21">
      <c r="A5" s="20" t="n">
        <v>4</v>
      </c>
      <c r="B5" s="20" t="n"/>
      <c r="C5" s="20" t="n">
        <v>1</v>
      </c>
      <c r="D5" s="20" t="inlineStr">
        <is>
          <t>en</t>
        </is>
      </c>
      <c r="E5" s="20" t="n">
        <v>1112276437</v>
      </c>
      <c r="F5" s="20" t="n"/>
      <c r="G5" s="20" t="n"/>
      <c r="H5" s="20" t="n"/>
      <c r="I5" s="20" t="inlineStr">
        <is>
          <t>N/A</t>
        </is>
      </c>
      <c r="J5" s="20" t="inlineStr">
        <is>
          <t>N/A</t>
        </is>
      </c>
      <c r="K5" s="20" t="inlineStr">
        <is>
          <t>N/A</t>
        </is>
      </c>
      <c r="L5" s="20" t="inlineStr">
        <is>
          <t>N/A</t>
        </is>
      </c>
      <c r="M5" s="20" t="inlineStr">
        <is>
          <t>N/A</t>
        </is>
      </c>
      <c r="N5" s="20" t="inlineStr">
        <is>
          <t>N/A</t>
        </is>
      </c>
      <c r="O5" s="20" t="inlineStr">
        <is>
          <t>N/A</t>
        </is>
      </c>
      <c r="P5" s="20" t="inlineStr">
        <is>
          <t>N/A</t>
        </is>
      </c>
      <c r="R5" s="20" t="n"/>
      <c r="T5" s="20" t="inlineStr">
        <is>
          <t>No</t>
        </is>
      </c>
      <c r="U5" s="20" t="inlineStr">
        <is>
          <t>No</t>
        </is>
      </c>
      <c r="V5" s="20" t="inlineStr">
        <is>
          <t>No</t>
        </is>
      </c>
      <c r="W5" s="20" t="inlineStr">
        <is>
          <t>No</t>
        </is>
      </c>
      <c r="X5" s="20" t="inlineStr">
        <is>
          <t>No</t>
        </is>
      </c>
      <c r="Y5" s="20" t="n"/>
      <c r="Z5" s="20" t="inlineStr">
        <is>
          <t>No</t>
        </is>
      </c>
      <c r="AA5" s="20" t="inlineStr">
        <is>
          <t>No</t>
        </is>
      </c>
      <c r="AB5" s="20" t="inlineStr">
        <is>
          <t>No</t>
        </is>
      </c>
      <c r="AC5" s="20" t="inlineStr">
        <is>
          <t>No</t>
        </is>
      </c>
      <c r="AD5" s="20" t="inlineStr">
        <is>
          <t>No</t>
        </is>
      </c>
      <c r="AE5" s="20" t="inlineStr">
        <is>
          <t>No</t>
        </is>
      </c>
      <c r="AF5" s="20" t="inlineStr">
        <is>
          <t>No</t>
        </is>
      </c>
      <c r="AG5" s="20" t="n"/>
      <c r="AH5" s="20" t="inlineStr">
        <is>
          <t>No</t>
        </is>
      </c>
      <c r="AI5" s="20" t="inlineStr">
        <is>
          <t>No</t>
        </is>
      </c>
      <c r="AJ5" s="20" t="inlineStr">
        <is>
          <t>No</t>
        </is>
      </c>
      <c r="AK5" s="20" t="inlineStr">
        <is>
          <t>No</t>
        </is>
      </c>
      <c r="AL5" s="20" t="n"/>
      <c r="AM5" s="20" t="inlineStr">
        <is>
          <t>No</t>
        </is>
      </c>
      <c r="AN5" s="20" t="inlineStr">
        <is>
          <t>No</t>
        </is>
      </c>
      <c r="AO5" s="20" t="inlineStr">
        <is>
          <t>No</t>
        </is>
      </c>
      <c r="AP5" s="20" t="inlineStr">
        <is>
          <t>No</t>
        </is>
      </c>
      <c r="AQ5" s="20" t="inlineStr">
        <is>
          <t>No</t>
        </is>
      </c>
      <c r="AR5" s="20" t="inlineStr">
        <is>
          <t>No</t>
        </is>
      </c>
      <c r="AS5" s="20" t="inlineStr">
        <is>
          <t>No</t>
        </is>
      </c>
      <c r="AT5" s="20" t="n"/>
      <c r="AU5" s="20" t="inlineStr">
        <is>
          <t>No</t>
        </is>
      </c>
      <c r="AV5" s="20" t="inlineStr">
        <is>
          <t>No</t>
        </is>
      </c>
      <c r="AW5" s="20" t="inlineStr">
        <is>
          <t>No</t>
        </is>
      </c>
      <c r="AX5" s="20" t="inlineStr">
        <is>
          <t>No</t>
        </is>
      </c>
      <c r="AY5" s="20" t="inlineStr">
        <is>
          <t>No</t>
        </is>
      </c>
      <c r="AZ5" s="20" t="inlineStr">
        <is>
          <t>No</t>
        </is>
      </c>
      <c r="BA5" s="20" t="n"/>
      <c r="BB5" s="20" t="inlineStr">
        <is>
          <t>No</t>
        </is>
      </c>
      <c r="BC5" s="20" t="inlineStr">
        <is>
          <t>No</t>
        </is>
      </c>
      <c r="BD5" s="20" t="inlineStr">
        <is>
          <t>No</t>
        </is>
      </c>
      <c r="BE5" s="20" t="inlineStr">
        <is>
          <t>No</t>
        </is>
      </c>
      <c r="BF5" s="20" t="inlineStr">
        <is>
          <t>No</t>
        </is>
      </c>
      <c r="BG5" s="20" t="inlineStr">
        <is>
          <t>No</t>
        </is>
      </c>
      <c r="BH5" s="20" t="n"/>
      <c r="BI5" s="20" t="inlineStr">
        <is>
          <t>No</t>
        </is>
      </c>
      <c r="BJ5" s="20" t="inlineStr">
        <is>
          <t>No</t>
        </is>
      </c>
      <c r="BK5" s="20" t="inlineStr">
        <is>
          <t>No</t>
        </is>
      </c>
      <c r="BL5" s="20" t="inlineStr">
        <is>
          <t>No</t>
        </is>
      </c>
      <c r="BM5" s="20" t="inlineStr">
        <is>
          <t>No</t>
        </is>
      </c>
      <c r="BN5" s="20" t="inlineStr">
        <is>
          <t>No</t>
        </is>
      </c>
      <c r="BO5" s="20" t="inlineStr">
        <is>
          <t>No</t>
        </is>
      </c>
      <c r="BP5" s="20" t="inlineStr">
        <is>
          <t>No</t>
        </is>
      </c>
      <c r="BQ5" s="20" t="inlineStr">
        <is>
          <t>No</t>
        </is>
      </c>
      <c r="BR5" s="20" t="n"/>
      <c r="BS5" s="20" t="inlineStr">
        <is>
          <t>No</t>
        </is>
      </c>
      <c r="BT5" s="20" t="inlineStr">
        <is>
          <t>No</t>
        </is>
      </c>
      <c r="BU5" s="20" t="inlineStr">
        <is>
          <t>No</t>
        </is>
      </c>
      <c r="BV5" s="20" t="inlineStr">
        <is>
          <t>No</t>
        </is>
      </c>
      <c r="BW5" s="20" t="inlineStr">
        <is>
          <t>No</t>
        </is>
      </c>
      <c r="BX5" s="20" t="inlineStr">
        <is>
          <t>No</t>
        </is>
      </c>
      <c r="BY5" s="20" t="inlineStr">
        <is>
          <t>No</t>
        </is>
      </c>
      <c r="BZ5" s="20" t="inlineStr">
        <is>
          <t>No</t>
        </is>
      </c>
      <c r="CA5" s="20" t="n"/>
      <c r="CC5" s="20" t="inlineStr">
        <is>
          <t>No</t>
        </is>
      </c>
      <c r="CD5" s="20" t="inlineStr">
        <is>
          <t>No</t>
        </is>
      </c>
      <c r="CE5" s="20" t="inlineStr">
        <is>
          <t>No</t>
        </is>
      </c>
      <c r="CF5" s="20" t="inlineStr">
        <is>
          <t>No</t>
        </is>
      </c>
      <c r="CG5" s="20" t="inlineStr">
        <is>
          <t>No</t>
        </is>
      </c>
      <c r="CH5" s="20" t="inlineStr">
        <is>
          <t>No</t>
        </is>
      </c>
      <c r="CI5" s="20" t="inlineStr">
        <is>
          <t>No</t>
        </is>
      </c>
      <c r="CJ5" s="20" t="n"/>
      <c r="CK5" s="20" t="inlineStr">
        <is>
          <t>No</t>
        </is>
      </c>
      <c r="CL5" s="20" t="inlineStr">
        <is>
          <t>No</t>
        </is>
      </c>
      <c r="CM5" s="20" t="inlineStr">
        <is>
          <t>No</t>
        </is>
      </c>
      <c r="CN5" s="20" t="inlineStr">
        <is>
          <t>No</t>
        </is>
      </c>
      <c r="CO5" s="20" t="n"/>
      <c r="CP5" s="20" t="inlineStr">
        <is>
          <t>No</t>
        </is>
      </c>
      <c r="CQ5" s="20" t="inlineStr">
        <is>
          <t>No</t>
        </is>
      </c>
      <c r="CR5" s="20" t="inlineStr">
        <is>
          <t>No</t>
        </is>
      </c>
      <c r="CS5" s="20" t="inlineStr">
        <is>
          <t>No</t>
        </is>
      </c>
      <c r="CT5" s="20" t="inlineStr">
        <is>
          <t>No</t>
        </is>
      </c>
      <c r="CU5" s="20" t="n"/>
      <c r="CV5" s="20" t="inlineStr">
        <is>
          <t>No</t>
        </is>
      </c>
      <c r="CW5" s="20" t="inlineStr">
        <is>
          <t>No</t>
        </is>
      </c>
      <c r="CX5" s="20" t="inlineStr">
        <is>
          <t>No</t>
        </is>
      </c>
      <c r="CY5" s="20" t="inlineStr">
        <is>
          <t>No</t>
        </is>
      </c>
      <c r="CZ5" s="20" t="inlineStr">
        <is>
          <t>No</t>
        </is>
      </c>
      <c r="DA5" s="20" t="n"/>
      <c r="DB5" s="20" t="inlineStr">
        <is>
          <t>No</t>
        </is>
      </c>
      <c r="DC5" s="20" t="inlineStr">
        <is>
          <t>No</t>
        </is>
      </c>
      <c r="DD5" s="20" t="inlineStr">
        <is>
          <t>No</t>
        </is>
      </c>
      <c r="DE5" s="20" t="inlineStr">
        <is>
          <t>No</t>
        </is>
      </c>
      <c r="DF5" s="20" t="inlineStr">
        <is>
          <t>No</t>
        </is>
      </c>
      <c r="DG5" s="20" t="n"/>
      <c r="DH5" s="20" t="inlineStr">
        <is>
          <t>No</t>
        </is>
      </c>
      <c r="DI5" s="20" t="inlineStr">
        <is>
          <t>No</t>
        </is>
      </c>
      <c r="DJ5" s="20" t="inlineStr">
        <is>
          <t>No</t>
        </is>
      </c>
      <c r="DK5" s="20" t="inlineStr">
        <is>
          <t>No</t>
        </is>
      </c>
      <c r="DL5" s="20" t="inlineStr">
        <is>
          <t>No</t>
        </is>
      </c>
      <c r="DM5" s="20" t="inlineStr">
        <is>
          <t>No</t>
        </is>
      </c>
      <c r="DN5" s="20" t="inlineStr">
        <is>
          <t>No</t>
        </is>
      </c>
      <c r="DO5" s="20" t="inlineStr">
        <is>
          <t>No</t>
        </is>
      </c>
      <c r="DP5" s="20" t="inlineStr">
        <is>
          <t>No</t>
        </is>
      </c>
      <c r="DQ5" s="20" t="n"/>
      <c r="DR5" s="20" t="inlineStr">
        <is>
          <t>No</t>
        </is>
      </c>
      <c r="DS5" s="20" t="inlineStr">
        <is>
          <t>No</t>
        </is>
      </c>
      <c r="DT5" s="20" t="inlineStr">
        <is>
          <t>No</t>
        </is>
      </c>
      <c r="DU5" s="20" t="inlineStr">
        <is>
          <t>No</t>
        </is>
      </c>
      <c r="DV5" s="20" t="inlineStr">
        <is>
          <t>No</t>
        </is>
      </c>
      <c r="DW5" s="20" t="inlineStr">
        <is>
          <t>No</t>
        </is>
      </c>
      <c r="DX5" s="20" t="n"/>
      <c r="DZ5" s="20" t="inlineStr">
        <is>
          <t>N/A</t>
        </is>
      </c>
      <c r="EA5" s="20" t="inlineStr">
        <is>
          <t>N/A</t>
        </is>
      </c>
      <c r="EB5" s="20" t="inlineStr">
        <is>
          <t>N/A</t>
        </is>
      </c>
      <c r="EC5" s="20" t="inlineStr">
        <is>
          <t>N/A</t>
        </is>
      </c>
      <c r="ED5" s="20" t="inlineStr">
        <is>
          <t>N/A</t>
        </is>
      </c>
      <c r="EE5" s="20" t="inlineStr">
        <is>
          <t>N/A</t>
        </is>
      </c>
      <c r="EG5" s="20" t="inlineStr">
        <is>
          <t>N/A</t>
        </is>
      </c>
      <c r="EH5" s="20" t="inlineStr">
        <is>
          <t>N/A</t>
        </is>
      </c>
      <c r="EI5" s="20" t="inlineStr">
        <is>
          <t>N/A</t>
        </is>
      </c>
      <c r="EJ5" s="20" t="inlineStr">
        <is>
          <t>N/A</t>
        </is>
      </c>
      <c r="EK5" s="20" t="inlineStr">
        <is>
          <t>N/A</t>
        </is>
      </c>
      <c r="EL5" s="20" t="inlineStr">
        <is>
          <t>N/A</t>
        </is>
      </c>
      <c r="EM5" s="20" t="inlineStr">
        <is>
          <t>N/A</t>
        </is>
      </c>
      <c r="EN5" s="20" t="inlineStr">
        <is>
          <t>N/A</t>
        </is>
      </c>
      <c r="EO5" s="20" t="inlineStr">
        <is>
          <t>N/A</t>
        </is>
      </c>
      <c r="EP5" s="20" t="inlineStr">
        <is>
          <t>N/A</t>
        </is>
      </c>
      <c r="EQ5" s="20" t="inlineStr">
        <is>
          <t>N/A</t>
        </is>
      </c>
      <c r="ER5" s="20" t="inlineStr">
        <is>
          <t>N/A</t>
        </is>
      </c>
      <c r="ES5" s="20" t="inlineStr">
        <is>
          <t>N/A</t>
        </is>
      </c>
      <c r="ET5" s="20" t="inlineStr">
        <is>
          <t>N/A</t>
        </is>
      </c>
      <c r="EU5" s="20" t="inlineStr">
        <is>
          <t>N/A</t>
        </is>
      </c>
      <c r="EV5" s="20" t="inlineStr">
        <is>
          <t>N/A</t>
        </is>
      </c>
      <c r="EW5" s="20" t="inlineStr">
        <is>
          <t>N/A</t>
        </is>
      </c>
      <c r="EX5" s="20" t="inlineStr">
        <is>
          <t>N/A</t>
        </is>
      </c>
      <c r="EY5" s="20" t="inlineStr">
        <is>
          <t>N/A</t>
        </is>
      </c>
      <c r="FA5" s="20" t="inlineStr">
        <is>
          <t>N/A</t>
        </is>
      </c>
      <c r="FB5" s="20" t="inlineStr">
        <is>
          <t>N/A</t>
        </is>
      </c>
      <c r="FC5" s="20" t="inlineStr">
        <is>
          <t>N/A</t>
        </is>
      </c>
      <c r="FD5" s="20" t="inlineStr">
        <is>
          <t>N/A</t>
        </is>
      </c>
      <c r="FE5" s="20" t="inlineStr">
        <is>
          <t>N/A</t>
        </is>
      </c>
      <c r="FF5" s="20" t="inlineStr">
        <is>
          <t>N/A</t>
        </is>
      </c>
      <c r="FG5" s="20" t="inlineStr">
        <is>
          <t>N/A</t>
        </is>
      </c>
      <c r="FH5" s="20" t="inlineStr">
        <is>
          <t>N/A</t>
        </is>
      </c>
      <c r="FI5" s="20" t="inlineStr">
        <is>
          <t>N/A</t>
        </is>
      </c>
      <c r="FK5" s="20" t="inlineStr">
        <is>
          <t>N/A</t>
        </is>
      </c>
      <c r="FL5" s="20" t="inlineStr">
        <is>
          <t>N/A</t>
        </is>
      </c>
      <c r="FM5" s="20" t="inlineStr">
        <is>
          <t>N/A</t>
        </is>
      </c>
      <c r="FN5" s="20" t="inlineStr">
        <is>
          <t>N/A</t>
        </is>
      </c>
      <c r="FO5" s="20" t="inlineStr">
        <is>
          <t>N/A</t>
        </is>
      </c>
      <c r="FP5" s="20" t="inlineStr">
        <is>
          <t>N/A</t>
        </is>
      </c>
      <c r="FQ5" s="20" t="inlineStr">
        <is>
          <t>N/A</t>
        </is>
      </c>
      <c r="FS5" s="20" t="inlineStr">
        <is>
          <t>N/A</t>
        </is>
      </c>
      <c r="FT5" s="20" t="inlineStr">
        <is>
          <t>N/A</t>
        </is>
      </c>
      <c r="FU5" s="20" t="inlineStr">
        <is>
          <t>N/A</t>
        </is>
      </c>
      <c r="FV5" s="20" t="inlineStr">
        <is>
          <t>N/A</t>
        </is>
      </c>
      <c r="FW5" s="20" t="inlineStr">
        <is>
          <t>N/A</t>
        </is>
      </c>
      <c r="FX5" s="20" t="inlineStr">
        <is>
          <t>N/A</t>
        </is>
      </c>
      <c r="FY5" s="20" t="inlineStr">
        <is>
          <t>N/A</t>
        </is>
      </c>
      <c r="FZ5" s="20" t="inlineStr">
        <is>
          <t>N/A</t>
        </is>
      </c>
      <c r="GA5" s="20" t="inlineStr">
        <is>
          <t>N/A</t>
        </is>
      </c>
      <c r="GB5" s="20" t="inlineStr">
        <is>
          <t>N/A</t>
        </is>
      </c>
      <c r="GC5" s="20" t="inlineStr">
        <is>
          <t>N/A</t>
        </is>
      </c>
      <c r="GD5" s="20" t="inlineStr">
        <is>
          <t>N/A</t>
        </is>
      </c>
      <c r="GE5" s="20" t="inlineStr">
        <is>
          <t>N/A</t>
        </is>
      </c>
      <c r="GF5" s="20" t="inlineStr">
        <is>
          <t>N/A</t>
        </is>
      </c>
      <c r="GG5" s="20" t="inlineStr">
        <is>
          <t>N/A</t>
        </is>
      </c>
      <c r="GI5" s="20" t="n"/>
    </row>
    <row r="6" ht="15" customHeight="1" s="21">
      <c r="A6" s="20" t="n">
        <v>5</v>
      </c>
      <c r="B6" s="20" t="inlineStr">
        <is>
          <t>1980-01-01 00:00:00</t>
        </is>
      </c>
      <c r="C6" s="20" t="n">
        <v>25</v>
      </c>
      <c r="D6" s="20" t="inlineStr">
        <is>
          <t>en</t>
        </is>
      </c>
      <c r="E6" s="20" t="n">
        <v>562588783</v>
      </c>
      <c r="F6" s="20" t="inlineStr">
        <is>
          <t>Faculty / Academic staff</t>
        </is>
      </c>
      <c r="G6" s="20" t="inlineStr">
        <is>
          <t>Computer Science Department</t>
        </is>
      </c>
      <c r="H6" s="20" t="inlineStr">
        <is>
          <t>Critical</t>
        </is>
      </c>
      <c r="I6" s="20" t="inlineStr">
        <is>
          <t>No</t>
        </is>
      </c>
      <c r="J6" s="20" t="inlineStr">
        <is>
          <t>No</t>
        </is>
      </c>
      <c r="K6" s="20" t="inlineStr">
        <is>
          <t>Yes</t>
        </is>
      </c>
      <c r="L6" s="20" t="inlineStr">
        <is>
          <t>Yes</t>
        </is>
      </c>
      <c r="M6" s="20" t="inlineStr">
        <is>
          <t>Yes</t>
        </is>
      </c>
      <c r="N6" s="20" t="inlineStr">
        <is>
          <t>No</t>
        </is>
      </c>
      <c r="O6" s="20" t="inlineStr">
        <is>
          <t>No</t>
        </is>
      </c>
      <c r="P6" s="20" t="inlineStr">
        <is>
          <t>No</t>
        </is>
      </c>
      <c r="R6" s="20" t="inlineStr">
        <is>
          <t>Confident</t>
        </is>
      </c>
      <c r="T6" s="20" t="inlineStr">
        <is>
          <t>Yes</t>
        </is>
      </c>
      <c r="U6" s="20" t="inlineStr">
        <is>
          <t>Yes</t>
        </is>
      </c>
      <c r="V6" s="20" t="inlineStr">
        <is>
          <t>No</t>
        </is>
      </c>
      <c r="W6" s="20" t="inlineStr">
        <is>
          <t>No</t>
        </is>
      </c>
      <c r="X6" s="20" t="inlineStr">
        <is>
          <t>No</t>
        </is>
      </c>
      <c r="Y6" s="20" t="inlineStr">
        <is>
          <t>Our dept has informal practices but nothing coordinated at university level.</t>
        </is>
      </c>
      <c r="Z6" s="20" t="inlineStr">
        <is>
          <t>Yes</t>
        </is>
      </c>
      <c r="AA6" s="20" t="inlineStr">
        <is>
          <t>Yes</t>
        </is>
      </c>
      <c r="AB6" s="20" t="inlineStr">
        <is>
          <t>No</t>
        </is>
      </c>
      <c r="AC6" s="20" t="inlineStr">
        <is>
          <t>No</t>
        </is>
      </c>
      <c r="AD6" s="20" t="inlineStr">
        <is>
          <t>No</t>
        </is>
      </c>
      <c r="AE6" s="20" t="inlineStr">
        <is>
          <t>No</t>
        </is>
      </c>
      <c r="AF6" s="20" t="inlineStr">
        <is>
          <t>No</t>
        </is>
      </c>
      <c r="AG6" s="20" t="inlineStr">
        <is>
          <t>Our dept has informal practices but nothing coordinated at university level.</t>
        </is>
      </c>
      <c r="AH6" s="20" t="inlineStr">
        <is>
          <t>Yes</t>
        </is>
      </c>
      <c r="AI6" s="20" t="inlineStr">
        <is>
          <t>Yes</t>
        </is>
      </c>
      <c r="AJ6" s="20" t="inlineStr">
        <is>
          <t>No</t>
        </is>
      </c>
      <c r="AK6" s="20" t="inlineStr">
        <is>
          <t>No</t>
        </is>
      </c>
      <c r="AL6" s="20" t="inlineStr">
        <is>
          <t>Our dept has informal practices but nothing coordinated at university level.</t>
        </is>
      </c>
      <c r="AM6" s="20" t="inlineStr">
        <is>
          <t>Yes</t>
        </is>
      </c>
      <c r="AN6" s="20" t="inlineStr">
        <is>
          <t>Yes</t>
        </is>
      </c>
      <c r="AO6" s="20" t="inlineStr">
        <is>
          <t>No</t>
        </is>
      </c>
      <c r="AP6" s="20" t="inlineStr">
        <is>
          <t>No</t>
        </is>
      </c>
      <c r="AQ6" s="20" t="inlineStr">
        <is>
          <t>No</t>
        </is>
      </c>
      <c r="AR6" s="20" t="inlineStr">
        <is>
          <t>No</t>
        </is>
      </c>
      <c r="AS6" s="20" t="inlineStr">
        <is>
          <t>No</t>
        </is>
      </c>
      <c r="AT6" s="20" t="inlineStr">
        <is>
          <t>Our dept has informal practices but nothing coordinated at university level.</t>
        </is>
      </c>
      <c r="AU6" s="20" t="inlineStr">
        <is>
          <t>Yes</t>
        </is>
      </c>
      <c r="AV6" s="20" t="inlineStr">
        <is>
          <t>Yes</t>
        </is>
      </c>
      <c r="AW6" s="20" t="inlineStr">
        <is>
          <t>No</t>
        </is>
      </c>
      <c r="AX6" s="20" t="inlineStr">
        <is>
          <t>No</t>
        </is>
      </c>
      <c r="AY6" s="20" t="inlineStr">
        <is>
          <t>No</t>
        </is>
      </c>
      <c r="AZ6" s="20" t="inlineStr">
        <is>
          <t>No</t>
        </is>
      </c>
      <c r="BA6" s="20" t="inlineStr">
        <is>
          <t>Our dept has informal practices but nothing coordinated at university level.</t>
        </is>
      </c>
      <c r="BB6" s="20" t="inlineStr">
        <is>
          <t>Yes</t>
        </is>
      </c>
      <c r="BC6" s="20" t="inlineStr">
        <is>
          <t>Yes</t>
        </is>
      </c>
      <c r="BD6" s="20" t="inlineStr">
        <is>
          <t>No</t>
        </is>
      </c>
      <c r="BE6" s="20" t="inlineStr">
        <is>
          <t>No</t>
        </is>
      </c>
      <c r="BF6" s="20" t="inlineStr">
        <is>
          <t>No</t>
        </is>
      </c>
      <c r="BG6" s="20" t="inlineStr">
        <is>
          <t>No</t>
        </is>
      </c>
      <c r="BH6" s="20" t="inlineStr">
        <is>
          <t>Our dept has informal practices but nothing coordinated at university level.</t>
        </is>
      </c>
      <c r="BI6" s="20" t="inlineStr">
        <is>
          <t>Yes</t>
        </is>
      </c>
      <c r="BJ6" s="20" t="inlineStr">
        <is>
          <t>Yes</t>
        </is>
      </c>
      <c r="BK6" s="20" t="inlineStr">
        <is>
          <t>No</t>
        </is>
      </c>
      <c r="BL6" s="20" t="inlineStr">
        <is>
          <t>No</t>
        </is>
      </c>
      <c r="BM6" s="20" t="inlineStr">
        <is>
          <t>No</t>
        </is>
      </c>
      <c r="BN6" s="20" t="inlineStr">
        <is>
          <t>No</t>
        </is>
      </c>
      <c r="BO6" s="20" t="inlineStr">
        <is>
          <t>No</t>
        </is>
      </c>
      <c r="BP6" s="20" t="inlineStr">
        <is>
          <t>No</t>
        </is>
      </c>
      <c r="BQ6" s="20" t="inlineStr">
        <is>
          <t>No</t>
        </is>
      </c>
      <c r="BR6" s="20" t="inlineStr">
        <is>
          <t>Our dept has informal practices but nothing coordinated at university level.</t>
        </is>
      </c>
      <c r="BS6" s="20" t="inlineStr">
        <is>
          <t>Yes</t>
        </is>
      </c>
      <c r="BT6" s="20" t="inlineStr">
        <is>
          <t>Yes</t>
        </is>
      </c>
      <c r="BU6" s="20" t="inlineStr">
        <is>
          <t>No</t>
        </is>
      </c>
      <c r="BV6" s="20" t="inlineStr">
        <is>
          <t>No</t>
        </is>
      </c>
      <c r="BW6" s="20" t="inlineStr">
        <is>
          <t>No</t>
        </is>
      </c>
      <c r="BX6" s="20" t="inlineStr">
        <is>
          <t>No</t>
        </is>
      </c>
      <c r="BY6" s="20" t="inlineStr">
        <is>
          <t>No</t>
        </is>
      </c>
      <c r="BZ6" s="20" t="inlineStr">
        <is>
          <t>No</t>
        </is>
      </c>
      <c r="CA6" s="20" t="inlineStr">
        <is>
          <t>Our dept has informal practices but nothing coordinated at university level.</t>
        </is>
      </c>
      <c r="CC6" s="20" t="inlineStr">
        <is>
          <t>Yes</t>
        </is>
      </c>
      <c r="CD6" s="20" t="inlineStr">
        <is>
          <t>Yes</t>
        </is>
      </c>
      <c r="CE6" s="20" t="inlineStr">
        <is>
          <t>Yes</t>
        </is>
      </c>
      <c r="CF6" s="20" t="inlineStr">
        <is>
          <t>No</t>
        </is>
      </c>
      <c r="CG6" s="20" t="inlineStr">
        <is>
          <t>No</t>
        </is>
      </c>
      <c r="CH6" s="20" t="inlineStr">
        <is>
          <t>No</t>
        </is>
      </c>
      <c r="CI6" s="20" t="inlineStr">
        <is>
          <t>No</t>
        </is>
      </c>
      <c r="CJ6" s="20" t="inlineStr">
        <is>
          <t>This would greatly help our research group's open source projects.</t>
        </is>
      </c>
      <c r="CK6" s="20" t="inlineStr">
        <is>
          <t>Yes</t>
        </is>
      </c>
      <c r="CL6" s="20" t="inlineStr">
        <is>
          <t>Yes</t>
        </is>
      </c>
      <c r="CM6" s="20" t="inlineStr">
        <is>
          <t>Yes</t>
        </is>
      </c>
      <c r="CN6" s="20" t="inlineStr">
        <is>
          <t>No</t>
        </is>
      </c>
      <c r="CO6" s="20" t="inlineStr">
        <is>
          <t>This would greatly help our research group's open source projects.</t>
        </is>
      </c>
      <c r="CP6" s="20" t="inlineStr">
        <is>
          <t>Yes</t>
        </is>
      </c>
      <c r="CQ6" s="20" t="inlineStr">
        <is>
          <t>Yes</t>
        </is>
      </c>
      <c r="CR6" s="20" t="inlineStr">
        <is>
          <t>Yes</t>
        </is>
      </c>
      <c r="CS6" s="20" t="inlineStr">
        <is>
          <t>No</t>
        </is>
      </c>
      <c r="CT6" s="20" t="inlineStr">
        <is>
          <t>No</t>
        </is>
      </c>
      <c r="CU6" s="20" t="inlineStr">
        <is>
          <t>This would greatly help our research group's open source projects.</t>
        </is>
      </c>
      <c r="CV6" s="20" t="inlineStr">
        <is>
          <t>Yes</t>
        </is>
      </c>
      <c r="CW6" s="20" t="inlineStr">
        <is>
          <t>Yes</t>
        </is>
      </c>
      <c r="CX6" s="20" t="inlineStr">
        <is>
          <t>Yes</t>
        </is>
      </c>
      <c r="CY6" s="20" t="inlineStr">
        <is>
          <t>No</t>
        </is>
      </c>
      <c r="CZ6" s="20" t="inlineStr">
        <is>
          <t>No</t>
        </is>
      </c>
      <c r="DA6" s="20" t="inlineStr">
        <is>
          <t>This would greatly help our research group's open source projects.</t>
        </is>
      </c>
      <c r="DB6" s="20" t="inlineStr">
        <is>
          <t>Yes</t>
        </is>
      </c>
      <c r="DC6" s="20" t="inlineStr">
        <is>
          <t>Yes</t>
        </is>
      </c>
      <c r="DD6" s="20" t="inlineStr">
        <is>
          <t>Yes</t>
        </is>
      </c>
      <c r="DE6" s="20" t="inlineStr">
        <is>
          <t>No</t>
        </is>
      </c>
      <c r="DF6" s="20" t="inlineStr">
        <is>
          <t>No</t>
        </is>
      </c>
      <c r="DG6" s="20" t="inlineStr">
        <is>
          <t>This would greatly help our research group's open source projects.</t>
        </is>
      </c>
      <c r="DH6" s="20" t="inlineStr">
        <is>
          <t>Yes</t>
        </is>
      </c>
      <c r="DI6" s="20" t="inlineStr">
        <is>
          <t>Yes</t>
        </is>
      </c>
      <c r="DJ6" s="20" t="inlineStr">
        <is>
          <t>Yes</t>
        </is>
      </c>
      <c r="DK6" s="20" t="inlineStr">
        <is>
          <t>No</t>
        </is>
      </c>
      <c r="DL6" s="20" t="inlineStr">
        <is>
          <t>No</t>
        </is>
      </c>
      <c r="DM6" s="20" t="inlineStr">
        <is>
          <t>No</t>
        </is>
      </c>
      <c r="DN6" s="20" t="inlineStr">
        <is>
          <t>No</t>
        </is>
      </c>
      <c r="DO6" s="20" t="inlineStr">
        <is>
          <t>No</t>
        </is>
      </c>
      <c r="DP6" s="20" t="inlineStr">
        <is>
          <t>No</t>
        </is>
      </c>
      <c r="DQ6" s="20" t="inlineStr">
        <is>
          <t>This would greatly help our research group's open source projects.</t>
        </is>
      </c>
      <c r="DR6" s="20" t="inlineStr">
        <is>
          <t>Yes</t>
        </is>
      </c>
      <c r="DS6" s="20" t="inlineStr">
        <is>
          <t>Yes</t>
        </is>
      </c>
      <c r="DT6" s="20" t="inlineStr">
        <is>
          <t>Yes</t>
        </is>
      </c>
      <c r="DU6" s="20" t="inlineStr">
        <is>
          <t>No</t>
        </is>
      </c>
      <c r="DV6" s="20" t="inlineStr">
        <is>
          <t>No</t>
        </is>
      </c>
      <c r="DW6" s="20" t="inlineStr">
        <is>
          <t>No</t>
        </is>
      </c>
      <c r="DX6" s="20" t="inlineStr">
        <is>
          <t>This would greatly help our research group's open source projects.</t>
        </is>
      </c>
      <c r="DZ6" s="20" t="inlineStr">
        <is>
          <t>Yes</t>
        </is>
      </c>
      <c r="EA6" s="20" t="inlineStr">
        <is>
          <t>Yes</t>
        </is>
      </c>
      <c r="EB6" s="20" t="inlineStr">
        <is>
          <t>Yes</t>
        </is>
      </c>
      <c r="EC6" s="20" t="inlineStr">
        <is>
          <t>No</t>
        </is>
      </c>
      <c r="ED6" s="20" t="inlineStr">
        <is>
          <t>No</t>
        </is>
      </c>
      <c r="EE6" s="20" t="inlineStr">
        <is>
          <t>No</t>
        </is>
      </c>
      <c r="EG6" s="20" t="inlineStr">
        <is>
          <t>Yes</t>
        </is>
      </c>
      <c r="EH6" s="20" t="inlineStr">
        <is>
          <t>Yes</t>
        </is>
      </c>
      <c r="EI6" s="20" t="inlineStr">
        <is>
          <t>No</t>
        </is>
      </c>
      <c r="EJ6" s="20" t="inlineStr">
        <is>
          <t>No</t>
        </is>
      </c>
      <c r="EK6" s="20" t="inlineStr">
        <is>
          <t>No</t>
        </is>
      </c>
      <c r="EL6" s="20" t="inlineStr">
        <is>
          <t>No</t>
        </is>
      </c>
      <c r="EM6" s="20" t="inlineStr">
        <is>
          <t>No</t>
        </is>
      </c>
      <c r="EN6" s="20" t="inlineStr">
        <is>
          <t>No</t>
        </is>
      </c>
      <c r="EO6" s="20" t="inlineStr">
        <is>
          <t>No</t>
        </is>
      </c>
      <c r="EP6" s="20" t="inlineStr">
        <is>
          <t>Yes</t>
        </is>
      </c>
      <c r="EQ6" s="20" t="inlineStr">
        <is>
          <t>Yes</t>
        </is>
      </c>
      <c r="ER6" s="20" t="inlineStr">
        <is>
          <t>No</t>
        </is>
      </c>
      <c r="ES6" s="20" t="inlineStr">
        <is>
          <t>No</t>
        </is>
      </c>
      <c r="ET6" s="20" t="inlineStr">
        <is>
          <t>No</t>
        </is>
      </c>
      <c r="EU6" s="20" t="inlineStr">
        <is>
          <t>No</t>
        </is>
      </c>
      <c r="EV6" s="20" t="inlineStr">
        <is>
          <t>No</t>
        </is>
      </c>
      <c r="EW6" s="20" t="inlineStr">
        <is>
          <t>No</t>
        </is>
      </c>
      <c r="EX6" s="20" t="inlineStr">
        <is>
          <t>No</t>
        </is>
      </c>
      <c r="EY6" s="20" t="inlineStr">
        <is>
          <t>No</t>
        </is>
      </c>
      <c r="FA6" s="20" t="inlineStr">
        <is>
          <t>Yes</t>
        </is>
      </c>
      <c r="FB6" s="20" t="inlineStr">
        <is>
          <t>Yes</t>
        </is>
      </c>
      <c r="FC6" s="20" t="inlineStr">
        <is>
          <t>No</t>
        </is>
      </c>
      <c r="FD6" s="20" t="inlineStr">
        <is>
          <t>No</t>
        </is>
      </c>
      <c r="FE6" s="20" t="inlineStr">
        <is>
          <t>No</t>
        </is>
      </c>
      <c r="FF6" s="20" t="inlineStr">
        <is>
          <t>No</t>
        </is>
      </c>
      <c r="FG6" s="20" t="inlineStr">
        <is>
          <t>No</t>
        </is>
      </c>
      <c r="FH6" s="20" t="inlineStr">
        <is>
          <t>No</t>
        </is>
      </c>
      <c r="FI6" s="20" t="inlineStr">
        <is>
          <t>No</t>
        </is>
      </c>
      <c r="FK6" s="20" t="inlineStr">
        <is>
          <t>Yes</t>
        </is>
      </c>
      <c r="FL6" s="20" t="inlineStr">
        <is>
          <t>Yes</t>
        </is>
      </c>
      <c r="FM6" s="20" t="inlineStr">
        <is>
          <t>No</t>
        </is>
      </c>
      <c r="FN6" s="20" t="inlineStr">
        <is>
          <t>No</t>
        </is>
      </c>
      <c r="FO6" s="20" t="inlineStr">
        <is>
          <t>No</t>
        </is>
      </c>
      <c r="FP6" s="20" t="inlineStr">
        <is>
          <t>No</t>
        </is>
      </c>
      <c r="FQ6" s="20" t="inlineStr">
        <is>
          <t>No</t>
        </is>
      </c>
      <c r="FS6" s="20" t="inlineStr">
        <is>
          <t>Yes</t>
        </is>
      </c>
      <c r="FT6" s="20" t="inlineStr">
        <is>
          <t>Yes</t>
        </is>
      </c>
      <c r="FU6" s="20" t="inlineStr">
        <is>
          <t>No</t>
        </is>
      </c>
      <c r="FV6" s="20" t="inlineStr">
        <is>
          <t>No</t>
        </is>
      </c>
      <c r="FW6" s="20" t="inlineStr">
        <is>
          <t>No</t>
        </is>
      </c>
      <c r="FX6" s="20" t="inlineStr">
        <is>
          <t>No</t>
        </is>
      </c>
      <c r="FY6" s="20" t="inlineStr">
        <is>
          <t>No</t>
        </is>
      </c>
      <c r="FZ6" s="20" t="inlineStr">
        <is>
          <t>No</t>
        </is>
      </c>
      <c r="GA6" s="20" t="inlineStr">
        <is>
          <t>No</t>
        </is>
      </c>
      <c r="GB6" s="20" t="inlineStr">
        <is>
          <t>No</t>
        </is>
      </c>
      <c r="GC6" s="20" t="inlineStr">
        <is>
          <t>No</t>
        </is>
      </c>
      <c r="GD6" s="20" t="inlineStr">
        <is>
          <t>No</t>
        </is>
      </c>
      <c r="GE6" s="20" t="inlineStr">
        <is>
          <t>No</t>
        </is>
      </c>
      <c r="GF6" s="20" t="inlineStr">
        <is>
          <t>No</t>
        </is>
      </c>
      <c r="GG6" s="20" t="inlineStr">
        <is>
          <t>No</t>
        </is>
      </c>
      <c r="GI6" s="20" t="inlineStr">
        <is>
          <t>Excellent initiative! Open source is central to reproducible research. Example University needs a formal OSPO.</t>
        </is>
      </c>
    </row>
    <row r="7" ht="15" customHeight="1" s="21">
      <c r="A7" s="20" t="n">
        <v>6</v>
      </c>
      <c r="B7" s="20" t="inlineStr">
        <is>
          <t>1980-01-01 00:00:00</t>
        </is>
      </c>
      <c r="C7" s="20" t="n">
        <v>25</v>
      </c>
      <c r="D7" s="20" t="inlineStr">
        <is>
          <t>en</t>
        </is>
      </c>
      <c r="E7" s="20" t="n">
        <v>613434798</v>
      </c>
      <c r="F7" s="20" t="inlineStr">
        <is>
          <t>Leadership / Administration</t>
        </is>
      </c>
      <c r="G7" s="20" t="inlineStr">
        <is>
          <t>Office of Research Administration</t>
        </is>
      </c>
      <c r="H7" s="20" t="inlineStr">
        <is>
          <t>Not important</t>
        </is>
      </c>
      <c r="I7" s="20" t="inlineStr">
        <is>
          <t>N/A</t>
        </is>
      </c>
      <c r="J7" s="20" t="inlineStr">
        <is>
          <t>N/A</t>
        </is>
      </c>
      <c r="K7" s="20" t="inlineStr">
        <is>
          <t>N/A</t>
        </is>
      </c>
      <c r="L7" s="20" t="inlineStr">
        <is>
          <t>N/A</t>
        </is>
      </c>
      <c r="M7" s="20" t="inlineStr">
        <is>
          <t>N/A</t>
        </is>
      </c>
      <c r="N7" s="20" t="inlineStr">
        <is>
          <t>N/A</t>
        </is>
      </c>
      <c r="O7" s="20" t="inlineStr">
        <is>
          <t>N/A</t>
        </is>
      </c>
      <c r="P7" s="20" t="inlineStr">
        <is>
          <t>N/A</t>
        </is>
      </c>
      <c r="R7" s="20" t="inlineStr">
        <is>
          <t>Not confident</t>
        </is>
      </c>
      <c r="T7" s="20" t="inlineStr">
        <is>
          <t>N/A</t>
        </is>
      </c>
      <c r="U7" s="20" t="inlineStr">
        <is>
          <t>N/A</t>
        </is>
      </c>
      <c r="V7" s="20" t="inlineStr">
        <is>
          <t>N/A</t>
        </is>
      </c>
      <c r="W7" s="20" t="inlineStr">
        <is>
          <t>N/A</t>
        </is>
      </c>
      <c r="X7" s="20" t="inlineStr">
        <is>
          <t>Yes</t>
        </is>
      </c>
      <c r="Y7" s="20" t="inlineStr">
        <is>
          <t>I'm not sure we have any practices related to this.</t>
        </is>
      </c>
      <c r="Z7" s="20" t="inlineStr">
        <is>
          <t>N/A</t>
        </is>
      </c>
      <c r="AA7" s="20" t="inlineStr">
        <is>
          <t>N/A</t>
        </is>
      </c>
      <c r="AB7" s="20" t="inlineStr">
        <is>
          <t>N/A</t>
        </is>
      </c>
      <c r="AC7" s="20" t="inlineStr">
        <is>
          <t>N/A</t>
        </is>
      </c>
      <c r="AD7" s="20" t="inlineStr">
        <is>
          <t>N/A</t>
        </is>
      </c>
      <c r="AE7" s="20" t="inlineStr">
        <is>
          <t>N/A</t>
        </is>
      </c>
      <c r="AF7" s="20" t="inlineStr">
        <is>
          <t>Yes</t>
        </is>
      </c>
      <c r="AG7" s="20" t="inlineStr">
        <is>
          <t>I'm not sure we have any practices related to this.</t>
        </is>
      </c>
      <c r="AH7" s="20" t="inlineStr">
        <is>
          <t>N/A</t>
        </is>
      </c>
      <c r="AI7" s="20" t="inlineStr">
        <is>
          <t>N/A</t>
        </is>
      </c>
      <c r="AJ7" s="20" t="inlineStr">
        <is>
          <t>N/A</t>
        </is>
      </c>
      <c r="AK7" s="20" t="inlineStr">
        <is>
          <t>Yes</t>
        </is>
      </c>
      <c r="AL7" s="20" t="inlineStr">
        <is>
          <t>I'm not sure we have any practices related to this.</t>
        </is>
      </c>
      <c r="AM7" s="20" t="inlineStr">
        <is>
          <t>N/A</t>
        </is>
      </c>
      <c r="AN7" s="20" t="inlineStr">
        <is>
          <t>N/A</t>
        </is>
      </c>
      <c r="AO7" s="20" t="inlineStr">
        <is>
          <t>N/A</t>
        </is>
      </c>
      <c r="AP7" s="20" t="inlineStr">
        <is>
          <t>N/A</t>
        </is>
      </c>
      <c r="AQ7" s="20" t="inlineStr">
        <is>
          <t>N/A</t>
        </is>
      </c>
      <c r="AR7" s="20" t="inlineStr">
        <is>
          <t>N/A</t>
        </is>
      </c>
      <c r="AS7" s="20" t="inlineStr">
        <is>
          <t>Yes</t>
        </is>
      </c>
      <c r="AT7" s="20" t="inlineStr">
        <is>
          <t>I'm not sure we have any practices related to this.</t>
        </is>
      </c>
      <c r="AU7" s="20" t="inlineStr">
        <is>
          <t>N/A</t>
        </is>
      </c>
      <c r="AV7" s="20" t="inlineStr">
        <is>
          <t>N/A</t>
        </is>
      </c>
      <c r="AW7" s="20" t="inlineStr">
        <is>
          <t>N/A</t>
        </is>
      </c>
      <c r="AX7" s="20" t="inlineStr">
        <is>
          <t>N/A</t>
        </is>
      </c>
      <c r="AY7" s="20" t="inlineStr">
        <is>
          <t>N/A</t>
        </is>
      </c>
      <c r="AZ7" s="20" t="inlineStr">
        <is>
          <t>Yes</t>
        </is>
      </c>
      <c r="BA7" s="20" t="inlineStr">
        <is>
          <t>I'm not sure we have any practices related to this.</t>
        </is>
      </c>
      <c r="BB7" s="20" t="inlineStr">
        <is>
          <t>N/A</t>
        </is>
      </c>
      <c r="BC7" s="20" t="inlineStr">
        <is>
          <t>N/A</t>
        </is>
      </c>
      <c r="BD7" s="20" t="inlineStr">
        <is>
          <t>N/A</t>
        </is>
      </c>
      <c r="BE7" s="20" t="inlineStr">
        <is>
          <t>N/A</t>
        </is>
      </c>
      <c r="BF7" s="20" t="inlineStr">
        <is>
          <t>N/A</t>
        </is>
      </c>
      <c r="BG7" s="20" t="inlineStr">
        <is>
          <t>Yes</t>
        </is>
      </c>
      <c r="BH7" s="20" t="inlineStr">
        <is>
          <t>I'm not sure we have any practices related to this.</t>
        </is>
      </c>
      <c r="BI7" s="20" t="inlineStr">
        <is>
          <t>N/A</t>
        </is>
      </c>
      <c r="BJ7" s="20" t="inlineStr">
        <is>
          <t>N/A</t>
        </is>
      </c>
      <c r="BK7" s="20" t="inlineStr">
        <is>
          <t>N/A</t>
        </is>
      </c>
      <c r="BL7" s="20" t="inlineStr">
        <is>
          <t>N/A</t>
        </is>
      </c>
      <c r="BM7" s="20" t="inlineStr">
        <is>
          <t>N/A</t>
        </is>
      </c>
      <c r="BN7" s="20" t="inlineStr">
        <is>
          <t>N/A</t>
        </is>
      </c>
      <c r="BO7" s="20" t="inlineStr">
        <is>
          <t>N/A</t>
        </is>
      </c>
      <c r="BP7" s="20" t="inlineStr">
        <is>
          <t>N/A</t>
        </is>
      </c>
      <c r="BQ7" s="20" t="inlineStr">
        <is>
          <t>Yes</t>
        </is>
      </c>
      <c r="BR7" s="20" t="inlineStr">
        <is>
          <t>I'm not sure we have any practices related to this.</t>
        </is>
      </c>
      <c r="BS7" s="20" t="inlineStr">
        <is>
          <t>N/A</t>
        </is>
      </c>
      <c r="BT7" s="20" t="inlineStr">
        <is>
          <t>N/A</t>
        </is>
      </c>
      <c r="BU7" s="20" t="inlineStr">
        <is>
          <t>N/A</t>
        </is>
      </c>
      <c r="BV7" s="20" t="inlineStr">
        <is>
          <t>N/A</t>
        </is>
      </c>
      <c r="BW7" s="20" t="inlineStr">
        <is>
          <t>N/A</t>
        </is>
      </c>
      <c r="BX7" s="20" t="inlineStr">
        <is>
          <t>N/A</t>
        </is>
      </c>
      <c r="BY7" s="20" t="inlineStr">
        <is>
          <t>N/A</t>
        </is>
      </c>
      <c r="BZ7" s="20" t="inlineStr">
        <is>
          <t>Yes</t>
        </is>
      </c>
      <c r="CA7" s="20" t="inlineStr">
        <is>
          <t>I'm not sure we have any practices related to this.</t>
        </is>
      </c>
      <c r="CC7" s="20" t="inlineStr">
        <is>
          <t>N/A</t>
        </is>
      </c>
      <c r="CD7" s="20" t="inlineStr">
        <is>
          <t>N/A</t>
        </is>
      </c>
      <c r="CE7" s="20" t="inlineStr">
        <is>
          <t>N/A</t>
        </is>
      </c>
      <c r="CF7" s="20" t="inlineStr">
        <is>
          <t>N/A</t>
        </is>
      </c>
      <c r="CG7" s="20" t="inlineStr">
        <is>
          <t>N/A</t>
        </is>
      </c>
      <c r="CH7" s="20" t="inlineStr">
        <is>
          <t>N/A</t>
        </is>
      </c>
      <c r="CI7" s="20" t="inlineStr">
        <is>
          <t>Yes</t>
        </is>
      </c>
      <c r="CJ7" s="20" t="inlineStr">
        <is>
          <t>Not sure this is relevant to our office.</t>
        </is>
      </c>
      <c r="CK7" s="20" t="inlineStr">
        <is>
          <t>N/A</t>
        </is>
      </c>
      <c r="CL7" s="20" t="inlineStr">
        <is>
          <t>N/A</t>
        </is>
      </c>
      <c r="CM7" s="20" t="inlineStr">
        <is>
          <t>N/A</t>
        </is>
      </c>
      <c r="CN7" s="20" t="inlineStr">
        <is>
          <t>Yes</t>
        </is>
      </c>
      <c r="CO7" s="20" t="inlineStr">
        <is>
          <t>Not sure this is relevant to our office.</t>
        </is>
      </c>
      <c r="CP7" s="20" t="inlineStr">
        <is>
          <t>N/A</t>
        </is>
      </c>
      <c r="CQ7" s="20" t="inlineStr">
        <is>
          <t>N/A</t>
        </is>
      </c>
      <c r="CR7" s="20" t="inlineStr">
        <is>
          <t>N/A</t>
        </is>
      </c>
      <c r="CS7" s="20" t="inlineStr">
        <is>
          <t>N/A</t>
        </is>
      </c>
      <c r="CT7" s="20" t="inlineStr">
        <is>
          <t>Yes</t>
        </is>
      </c>
      <c r="CU7" s="20" t="inlineStr">
        <is>
          <t>Not sure this is relevant to our office.</t>
        </is>
      </c>
      <c r="CV7" s="20" t="inlineStr">
        <is>
          <t>N/A</t>
        </is>
      </c>
      <c r="CW7" s="20" t="inlineStr">
        <is>
          <t>N/A</t>
        </is>
      </c>
      <c r="CX7" s="20" t="inlineStr">
        <is>
          <t>N/A</t>
        </is>
      </c>
      <c r="CY7" s="20" t="inlineStr">
        <is>
          <t>N/A</t>
        </is>
      </c>
      <c r="CZ7" s="20" t="inlineStr">
        <is>
          <t>Yes</t>
        </is>
      </c>
      <c r="DA7" s="20" t="inlineStr">
        <is>
          <t>Not sure this is relevant to our office.</t>
        </is>
      </c>
      <c r="DB7" s="20" t="inlineStr">
        <is>
          <t>N/A</t>
        </is>
      </c>
      <c r="DC7" s="20" t="inlineStr">
        <is>
          <t>N/A</t>
        </is>
      </c>
      <c r="DD7" s="20" t="inlineStr">
        <is>
          <t>N/A</t>
        </is>
      </c>
      <c r="DE7" s="20" t="inlineStr">
        <is>
          <t>N/A</t>
        </is>
      </c>
      <c r="DF7" s="20" t="inlineStr">
        <is>
          <t>Yes</t>
        </is>
      </c>
      <c r="DG7" s="20" t="inlineStr">
        <is>
          <t>Not sure this is relevant to our office.</t>
        </is>
      </c>
      <c r="DH7" s="20" t="inlineStr">
        <is>
          <t>N/A</t>
        </is>
      </c>
      <c r="DI7" s="20" t="inlineStr">
        <is>
          <t>N/A</t>
        </is>
      </c>
      <c r="DJ7" s="20" t="inlineStr">
        <is>
          <t>N/A</t>
        </is>
      </c>
      <c r="DK7" s="20" t="inlineStr">
        <is>
          <t>N/A</t>
        </is>
      </c>
      <c r="DL7" s="20" t="inlineStr">
        <is>
          <t>N/A</t>
        </is>
      </c>
      <c r="DM7" s="20" t="inlineStr">
        <is>
          <t>N/A</t>
        </is>
      </c>
      <c r="DN7" s="20" t="inlineStr">
        <is>
          <t>N/A</t>
        </is>
      </c>
      <c r="DO7" s="20" t="inlineStr">
        <is>
          <t>N/A</t>
        </is>
      </c>
      <c r="DP7" s="20" t="inlineStr">
        <is>
          <t>Yes</t>
        </is>
      </c>
      <c r="DQ7" s="20" t="inlineStr">
        <is>
          <t>Not sure this is relevant to our office.</t>
        </is>
      </c>
      <c r="DR7" s="20" t="inlineStr">
        <is>
          <t>N/A</t>
        </is>
      </c>
      <c r="DS7" s="20" t="inlineStr">
        <is>
          <t>N/A</t>
        </is>
      </c>
      <c r="DT7" s="20" t="inlineStr">
        <is>
          <t>N/A</t>
        </is>
      </c>
      <c r="DU7" s="20" t="inlineStr">
        <is>
          <t>N/A</t>
        </is>
      </c>
      <c r="DV7" s="20" t="inlineStr">
        <is>
          <t>N/A</t>
        </is>
      </c>
      <c r="DW7" s="20" t="inlineStr">
        <is>
          <t>Yes</t>
        </is>
      </c>
      <c r="DX7" s="20" t="inlineStr">
        <is>
          <t>Not sure this is relevant to our office.</t>
        </is>
      </c>
      <c r="DZ7" s="20" t="inlineStr">
        <is>
          <t>No</t>
        </is>
      </c>
      <c r="EA7" s="20" t="inlineStr">
        <is>
          <t>N/A</t>
        </is>
      </c>
      <c r="EB7" s="20" t="inlineStr">
        <is>
          <t>N/A</t>
        </is>
      </c>
      <c r="EC7" s="20" t="inlineStr">
        <is>
          <t>N/A</t>
        </is>
      </c>
      <c r="ED7" s="20" t="inlineStr">
        <is>
          <t>N/A</t>
        </is>
      </c>
      <c r="EE7" s="20" t="inlineStr">
        <is>
          <t>N/A</t>
        </is>
      </c>
      <c r="EF7" s="20" t="n"/>
      <c r="EG7" s="20" t="inlineStr">
        <is>
          <t>N/A</t>
        </is>
      </c>
      <c r="EH7" s="20" t="inlineStr">
        <is>
          <t>N/A</t>
        </is>
      </c>
      <c r="EI7" s="20" t="inlineStr">
        <is>
          <t>N/A</t>
        </is>
      </c>
      <c r="EJ7" s="20" t="inlineStr">
        <is>
          <t>N/A</t>
        </is>
      </c>
      <c r="EK7" s="20" t="inlineStr">
        <is>
          <t>N/A</t>
        </is>
      </c>
      <c r="EL7" s="20" t="inlineStr">
        <is>
          <t>N/A</t>
        </is>
      </c>
      <c r="EM7" s="20" t="inlineStr">
        <is>
          <t>N/A</t>
        </is>
      </c>
      <c r="EN7" s="20" t="inlineStr">
        <is>
          <t>N/A</t>
        </is>
      </c>
      <c r="EO7" s="20" t="inlineStr">
        <is>
          <t>N/A</t>
        </is>
      </c>
      <c r="EP7" s="20" t="inlineStr">
        <is>
          <t>N/A</t>
        </is>
      </c>
      <c r="EQ7" s="20" t="inlineStr">
        <is>
          <t>N/A</t>
        </is>
      </c>
      <c r="ER7" s="20" t="inlineStr">
        <is>
          <t>N/A</t>
        </is>
      </c>
      <c r="ES7" s="20" t="inlineStr">
        <is>
          <t>N/A</t>
        </is>
      </c>
      <c r="ET7" s="20" t="inlineStr">
        <is>
          <t>N/A</t>
        </is>
      </c>
      <c r="EU7" s="20" t="inlineStr">
        <is>
          <t>N/A</t>
        </is>
      </c>
      <c r="EV7" s="20" t="inlineStr">
        <is>
          <t>N/A</t>
        </is>
      </c>
      <c r="EW7" s="20" t="inlineStr">
        <is>
          <t>N/A</t>
        </is>
      </c>
      <c r="EX7" s="20" t="inlineStr">
        <is>
          <t>N/A</t>
        </is>
      </c>
      <c r="EY7" s="20" t="inlineStr">
        <is>
          <t>N/A</t>
        </is>
      </c>
      <c r="EZ7" s="20" t="n"/>
      <c r="FA7" s="20" t="inlineStr">
        <is>
          <t>N/A</t>
        </is>
      </c>
      <c r="FB7" s="20" t="inlineStr">
        <is>
          <t>N/A</t>
        </is>
      </c>
      <c r="FC7" s="20" t="inlineStr">
        <is>
          <t>N/A</t>
        </is>
      </c>
      <c r="FD7" s="20" t="inlineStr">
        <is>
          <t>N/A</t>
        </is>
      </c>
      <c r="FE7" s="20" t="inlineStr">
        <is>
          <t>N/A</t>
        </is>
      </c>
      <c r="FF7" s="20" t="inlineStr">
        <is>
          <t>N/A</t>
        </is>
      </c>
      <c r="FG7" s="20" t="inlineStr">
        <is>
          <t>N/A</t>
        </is>
      </c>
      <c r="FH7" s="20" t="inlineStr">
        <is>
          <t>N/A</t>
        </is>
      </c>
      <c r="FI7" s="20" t="inlineStr">
        <is>
          <t>N/A</t>
        </is>
      </c>
      <c r="FK7" s="20" t="inlineStr">
        <is>
          <t>N/A</t>
        </is>
      </c>
      <c r="FL7" s="20" t="inlineStr">
        <is>
          <t>N/A</t>
        </is>
      </c>
      <c r="FM7" s="20" t="inlineStr">
        <is>
          <t>N/A</t>
        </is>
      </c>
      <c r="FN7" s="20" t="inlineStr">
        <is>
          <t>N/A</t>
        </is>
      </c>
      <c r="FO7" s="20" t="inlineStr">
        <is>
          <t>N/A</t>
        </is>
      </c>
      <c r="FP7" s="20" t="inlineStr">
        <is>
          <t>N/A</t>
        </is>
      </c>
      <c r="FQ7" s="20" t="inlineStr">
        <is>
          <t>N/A</t>
        </is>
      </c>
      <c r="FR7" s="20" t="n"/>
      <c r="FS7" s="20" t="inlineStr">
        <is>
          <t>N/A</t>
        </is>
      </c>
      <c r="FT7" s="20" t="inlineStr">
        <is>
          <t>N/A</t>
        </is>
      </c>
      <c r="FU7" s="20" t="inlineStr">
        <is>
          <t>N/A</t>
        </is>
      </c>
      <c r="FV7" s="20" t="inlineStr">
        <is>
          <t>N/A</t>
        </is>
      </c>
      <c r="FW7" s="20" t="inlineStr">
        <is>
          <t>N/A</t>
        </is>
      </c>
      <c r="FX7" s="20" t="inlineStr">
        <is>
          <t>N/A</t>
        </is>
      </c>
      <c r="FY7" s="20" t="inlineStr">
        <is>
          <t>N/A</t>
        </is>
      </c>
      <c r="FZ7" s="20" t="inlineStr">
        <is>
          <t>N/A</t>
        </is>
      </c>
      <c r="GA7" s="20" t="inlineStr">
        <is>
          <t>N/A</t>
        </is>
      </c>
      <c r="GB7" s="20" t="inlineStr">
        <is>
          <t>N/A</t>
        </is>
      </c>
      <c r="GC7" s="20" t="inlineStr">
        <is>
          <t>N/A</t>
        </is>
      </c>
      <c r="GD7" s="20" t="inlineStr">
        <is>
          <t>N/A</t>
        </is>
      </c>
      <c r="GE7" s="20" t="inlineStr">
        <is>
          <t>N/A</t>
        </is>
      </c>
      <c r="GF7" s="20" t="inlineStr">
        <is>
          <t>N/A</t>
        </is>
      </c>
      <c r="GG7" s="20" t="inlineStr">
        <is>
          <t>N/A</t>
        </is>
      </c>
      <c r="GI7" s="20" t="inlineStr">
        <is>
          <t>I wasn't sure what this survey was about. The questions felt overly technical for administrative staff.</t>
        </is>
      </c>
    </row>
    <row r="8" ht="15" customHeight="1" s="21">
      <c r="A8" s="20" t="n">
        <v>7</v>
      </c>
      <c r="B8" s="20" t="inlineStr">
        <is>
          <t>1980-01-01 00:00:00</t>
        </is>
      </c>
      <c r="C8" s="20" t="n">
        <v>25</v>
      </c>
      <c r="D8" s="20" t="inlineStr">
        <is>
          <t>en</t>
        </is>
      </c>
      <c r="E8" s="20" t="n">
        <v>2102043223</v>
      </c>
      <c r="F8" s="20" t="inlineStr">
        <is>
          <t>Professional / Support staff (including IT and library)</t>
        </is>
      </c>
      <c r="G8" s="20" t="inlineStr">
        <is>
          <t>University Libraries</t>
        </is>
      </c>
      <c r="H8" s="20" t="inlineStr">
        <is>
          <t>Important</t>
        </is>
      </c>
      <c r="I8" s="20" t="inlineStr">
        <is>
          <t>Yes</t>
        </is>
      </c>
      <c r="J8" s="20" t="inlineStr">
        <is>
          <t>Yes</t>
        </is>
      </c>
      <c r="K8" s="20" t="inlineStr">
        <is>
          <t>No</t>
        </is>
      </c>
      <c r="L8" s="20" t="inlineStr">
        <is>
          <t>No</t>
        </is>
      </c>
      <c r="M8" s="20" t="inlineStr">
        <is>
          <t>No</t>
        </is>
      </c>
      <c r="N8" s="20" t="inlineStr">
        <is>
          <t>No</t>
        </is>
      </c>
      <c r="O8" s="20" t="inlineStr">
        <is>
          <t>No</t>
        </is>
      </c>
      <c r="P8" s="20" t="inlineStr">
        <is>
          <t>No</t>
        </is>
      </c>
      <c r="R8" s="20" t="inlineStr">
        <is>
          <t>Somewhat confident</t>
        </is>
      </c>
      <c r="T8" s="20" t="inlineStr">
        <is>
          <t>Yes</t>
        </is>
      </c>
      <c r="U8" s="20" t="inlineStr">
        <is>
          <t>No</t>
        </is>
      </c>
      <c r="V8" s="20" t="inlineStr">
        <is>
          <t>No</t>
        </is>
      </c>
      <c r="W8" s="20" t="inlineStr">
        <is>
          <t>No</t>
        </is>
      </c>
      <c r="X8" s="20" t="inlineStr">
        <is>
          <t>No</t>
        </is>
      </c>
      <c r="Y8" s="20" t="inlineStr">
        <is>
          <t>We support open access publishing but don't have specific open source policies.</t>
        </is>
      </c>
      <c r="Z8" s="20" t="inlineStr">
        <is>
          <t>Yes</t>
        </is>
      </c>
      <c r="AA8" s="20" t="inlineStr">
        <is>
          <t>No</t>
        </is>
      </c>
      <c r="AB8" s="20" t="inlineStr">
        <is>
          <t>No</t>
        </is>
      </c>
      <c r="AC8" s="20" t="inlineStr">
        <is>
          <t>No</t>
        </is>
      </c>
      <c r="AD8" s="20" t="inlineStr">
        <is>
          <t>No</t>
        </is>
      </c>
      <c r="AE8" s="20" t="inlineStr">
        <is>
          <t>No</t>
        </is>
      </c>
      <c r="AF8" s="20" t="inlineStr">
        <is>
          <t>No</t>
        </is>
      </c>
      <c r="AG8" s="20" t="inlineStr">
        <is>
          <t>We support open access publishing but don't have specific open source policies.</t>
        </is>
      </c>
      <c r="AH8" s="20" t="inlineStr">
        <is>
          <t>Yes</t>
        </is>
      </c>
      <c r="AI8" s="20" t="inlineStr">
        <is>
          <t>No</t>
        </is>
      </c>
      <c r="AJ8" s="20" t="inlineStr">
        <is>
          <t>No</t>
        </is>
      </c>
      <c r="AK8" s="20" t="inlineStr">
        <is>
          <t>No</t>
        </is>
      </c>
      <c r="AL8" s="20" t="inlineStr">
        <is>
          <t>We support open access publishing but don't have specific open source policies.</t>
        </is>
      </c>
      <c r="AM8" s="20" t="inlineStr">
        <is>
          <t>Yes</t>
        </is>
      </c>
      <c r="AN8" s="20" t="inlineStr">
        <is>
          <t>No</t>
        </is>
      </c>
      <c r="AO8" s="20" t="inlineStr">
        <is>
          <t>No</t>
        </is>
      </c>
      <c r="AP8" s="20" t="inlineStr">
        <is>
          <t>No</t>
        </is>
      </c>
      <c r="AQ8" s="20" t="inlineStr">
        <is>
          <t>No</t>
        </is>
      </c>
      <c r="AR8" s="20" t="inlineStr">
        <is>
          <t>No</t>
        </is>
      </c>
      <c r="AS8" s="20" t="inlineStr">
        <is>
          <t>No</t>
        </is>
      </c>
      <c r="AT8" s="20" t="inlineStr">
        <is>
          <t>We support open access publishing but don't have specific open source policies.</t>
        </is>
      </c>
      <c r="AU8" s="20" t="inlineStr">
        <is>
          <t>Yes</t>
        </is>
      </c>
      <c r="AV8" s="20" t="inlineStr">
        <is>
          <t>No</t>
        </is>
      </c>
      <c r="AW8" s="20" t="inlineStr">
        <is>
          <t>No</t>
        </is>
      </c>
      <c r="AX8" s="20" t="inlineStr">
        <is>
          <t>No</t>
        </is>
      </c>
      <c r="AY8" s="20" t="inlineStr">
        <is>
          <t>No</t>
        </is>
      </c>
      <c r="AZ8" s="20" t="inlineStr">
        <is>
          <t>No</t>
        </is>
      </c>
      <c r="BA8" s="20" t="inlineStr">
        <is>
          <t>We support open access publishing but don't have specific open source policies.</t>
        </is>
      </c>
      <c r="BB8" s="20" t="inlineStr">
        <is>
          <t>Yes</t>
        </is>
      </c>
      <c r="BC8" s="20" t="inlineStr">
        <is>
          <t>No</t>
        </is>
      </c>
      <c r="BD8" s="20" t="inlineStr">
        <is>
          <t>No</t>
        </is>
      </c>
      <c r="BE8" s="20" t="inlineStr">
        <is>
          <t>No</t>
        </is>
      </c>
      <c r="BF8" s="20" t="inlineStr">
        <is>
          <t>No</t>
        </is>
      </c>
      <c r="BG8" s="20" t="inlineStr">
        <is>
          <t>No</t>
        </is>
      </c>
      <c r="BH8" s="20" t="inlineStr">
        <is>
          <t>We support open access publishing but don't have specific open source policies.</t>
        </is>
      </c>
      <c r="BI8" s="20" t="inlineStr">
        <is>
          <t>Yes</t>
        </is>
      </c>
      <c r="BJ8" s="20" t="inlineStr">
        <is>
          <t>No</t>
        </is>
      </c>
      <c r="BK8" s="20" t="inlineStr">
        <is>
          <t>No</t>
        </is>
      </c>
      <c r="BL8" s="20" t="inlineStr">
        <is>
          <t>No</t>
        </is>
      </c>
      <c r="BM8" s="20" t="inlineStr">
        <is>
          <t>No</t>
        </is>
      </c>
      <c r="BN8" s="20" t="inlineStr">
        <is>
          <t>No</t>
        </is>
      </c>
      <c r="BO8" s="20" t="inlineStr">
        <is>
          <t>No</t>
        </is>
      </c>
      <c r="BP8" s="20" t="inlineStr">
        <is>
          <t>No</t>
        </is>
      </c>
      <c r="BQ8" s="20" t="inlineStr">
        <is>
          <t>No</t>
        </is>
      </c>
      <c r="BR8" s="20" t="inlineStr">
        <is>
          <t>We support open access publishing but don't have specific open source policies.</t>
        </is>
      </c>
      <c r="BS8" s="20" t="inlineStr">
        <is>
          <t>Yes</t>
        </is>
      </c>
      <c r="BT8" s="20" t="inlineStr">
        <is>
          <t>No</t>
        </is>
      </c>
      <c r="BU8" s="20" t="inlineStr">
        <is>
          <t>No</t>
        </is>
      </c>
      <c r="BV8" s="20" t="inlineStr">
        <is>
          <t>No</t>
        </is>
      </c>
      <c r="BW8" s="20" t="inlineStr">
        <is>
          <t>No</t>
        </is>
      </c>
      <c r="BX8" s="20" t="inlineStr">
        <is>
          <t>No</t>
        </is>
      </c>
      <c r="BY8" s="20" t="inlineStr">
        <is>
          <t>No</t>
        </is>
      </c>
      <c r="BZ8" s="20" t="inlineStr">
        <is>
          <t>No</t>
        </is>
      </c>
      <c r="CA8" s="20" t="inlineStr">
        <is>
          <t>We support open access publishing but don't have specific open source policies.</t>
        </is>
      </c>
      <c r="CC8" s="20" t="inlineStr">
        <is>
          <t>Yes</t>
        </is>
      </c>
      <c r="CD8" s="20" t="inlineStr">
        <is>
          <t>Yes</t>
        </is>
      </c>
      <c r="CE8" s="20" t="inlineStr">
        <is>
          <t>No</t>
        </is>
      </c>
      <c r="CF8" s="20" t="inlineStr">
        <is>
          <t>No</t>
        </is>
      </c>
      <c r="CG8" s="20" t="inlineStr">
        <is>
          <t>No</t>
        </is>
      </c>
      <c r="CH8" s="20" t="inlineStr">
        <is>
          <t>No</t>
        </is>
      </c>
      <c r="CI8" s="20" t="inlineStr">
        <is>
          <t>No</t>
        </is>
      </c>
      <c r="CJ8" s="20" t="inlineStr">
        <is>
          <t>Libraries could play a neutral hosting role for OSPO services.</t>
        </is>
      </c>
      <c r="CK8" s="20" t="inlineStr">
        <is>
          <t>Yes</t>
        </is>
      </c>
      <c r="CL8" s="20" t="inlineStr">
        <is>
          <t>Yes</t>
        </is>
      </c>
      <c r="CM8" s="20" t="inlineStr">
        <is>
          <t>No</t>
        </is>
      </c>
      <c r="CN8" s="20" t="inlineStr">
        <is>
          <t>No</t>
        </is>
      </c>
      <c r="CO8" s="20" t="inlineStr">
        <is>
          <t>Libraries could play a neutral hosting role for OSPO services.</t>
        </is>
      </c>
      <c r="CP8" s="20" t="inlineStr">
        <is>
          <t>Yes</t>
        </is>
      </c>
      <c r="CQ8" s="20" t="inlineStr">
        <is>
          <t>Yes</t>
        </is>
      </c>
      <c r="CR8" s="20" t="inlineStr">
        <is>
          <t>No</t>
        </is>
      </c>
      <c r="CS8" s="20" t="inlineStr">
        <is>
          <t>No</t>
        </is>
      </c>
      <c r="CT8" s="20" t="inlineStr">
        <is>
          <t>No</t>
        </is>
      </c>
      <c r="CU8" s="20" t="inlineStr">
        <is>
          <t>Libraries could play a neutral hosting role for OSPO services.</t>
        </is>
      </c>
      <c r="CV8" s="20" t="inlineStr">
        <is>
          <t>Yes</t>
        </is>
      </c>
      <c r="CW8" s="20" t="inlineStr">
        <is>
          <t>Yes</t>
        </is>
      </c>
      <c r="CX8" s="20" t="inlineStr">
        <is>
          <t>No</t>
        </is>
      </c>
      <c r="CY8" s="20" t="inlineStr">
        <is>
          <t>No</t>
        </is>
      </c>
      <c r="CZ8" s="20" t="inlineStr">
        <is>
          <t>No</t>
        </is>
      </c>
      <c r="DA8" s="20" t="inlineStr">
        <is>
          <t>Libraries could play a neutral hosting role for OSPO services.</t>
        </is>
      </c>
      <c r="DB8" s="20" t="inlineStr">
        <is>
          <t>Yes</t>
        </is>
      </c>
      <c r="DC8" s="20" t="inlineStr">
        <is>
          <t>Yes</t>
        </is>
      </c>
      <c r="DD8" s="20" t="inlineStr">
        <is>
          <t>No</t>
        </is>
      </c>
      <c r="DE8" s="20" t="inlineStr">
        <is>
          <t>No</t>
        </is>
      </c>
      <c r="DF8" s="20" t="inlineStr">
        <is>
          <t>No</t>
        </is>
      </c>
      <c r="DG8" s="20" t="inlineStr">
        <is>
          <t>Libraries could play a neutral hosting role for OSPO services.</t>
        </is>
      </c>
      <c r="DH8" s="20" t="inlineStr">
        <is>
          <t>Yes</t>
        </is>
      </c>
      <c r="DI8" s="20" t="inlineStr">
        <is>
          <t>Yes</t>
        </is>
      </c>
      <c r="DJ8" s="20" t="inlineStr">
        <is>
          <t>No</t>
        </is>
      </c>
      <c r="DK8" s="20" t="inlineStr">
        <is>
          <t>No</t>
        </is>
      </c>
      <c r="DL8" s="20" t="inlineStr">
        <is>
          <t>No</t>
        </is>
      </c>
      <c r="DM8" s="20" t="inlineStr">
        <is>
          <t>No</t>
        </is>
      </c>
      <c r="DN8" s="20" t="inlineStr">
        <is>
          <t>No</t>
        </is>
      </c>
      <c r="DO8" s="20" t="inlineStr">
        <is>
          <t>No</t>
        </is>
      </c>
      <c r="DP8" s="20" t="inlineStr">
        <is>
          <t>No</t>
        </is>
      </c>
      <c r="DQ8" s="20" t="inlineStr">
        <is>
          <t>Libraries could play a neutral hosting role for OSPO services.</t>
        </is>
      </c>
      <c r="DR8" s="20" t="inlineStr">
        <is>
          <t>Yes</t>
        </is>
      </c>
      <c r="DS8" s="20" t="inlineStr">
        <is>
          <t>Yes</t>
        </is>
      </c>
      <c r="DT8" s="20" t="inlineStr">
        <is>
          <t>No</t>
        </is>
      </c>
      <c r="DU8" s="20" t="inlineStr">
        <is>
          <t>No</t>
        </is>
      </c>
      <c r="DV8" s="20" t="inlineStr">
        <is>
          <t>No</t>
        </is>
      </c>
      <c r="DW8" s="20" t="inlineStr">
        <is>
          <t>No</t>
        </is>
      </c>
      <c r="DX8" s="20" t="inlineStr">
        <is>
          <t>Libraries could play a neutral hosting role for OSPO services.</t>
        </is>
      </c>
      <c r="DZ8" s="20" t="inlineStr">
        <is>
          <t>Yes</t>
        </is>
      </c>
      <c r="EA8" s="20" t="inlineStr">
        <is>
          <t>Yes</t>
        </is>
      </c>
      <c r="EB8" s="20" t="inlineStr">
        <is>
          <t>No</t>
        </is>
      </c>
      <c r="EC8" s="20" t="inlineStr">
        <is>
          <t>No</t>
        </is>
      </c>
      <c r="ED8" s="20" t="inlineStr">
        <is>
          <t>No</t>
        </is>
      </c>
      <c r="EE8" s="20" t="inlineStr">
        <is>
          <t>No</t>
        </is>
      </c>
      <c r="EG8" s="20" t="inlineStr">
        <is>
          <t>Yes</t>
        </is>
      </c>
      <c r="EH8" s="20" t="inlineStr">
        <is>
          <t>No</t>
        </is>
      </c>
      <c r="EI8" s="20" t="inlineStr">
        <is>
          <t>No</t>
        </is>
      </c>
      <c r="EJ8" s="20" t="inlineStr">
        <is>
          <t>No</t>
        </is>
      </c>
      <c r="EK8" s="20" t="inlineStr">
        <is>
          <t>No</t>
        </is>
      </c>
      <c r="EL8" s="20" t="inlineStr">
        <is>
          <t>No</t>
        </is>
      </c>
      <c r="EM8" s="20" t="inlineStr">
        <is>
          <t>No</t>
        </is>
      </c>
      <c r="EN8" s="20" t="inlineStr">
        <is>
          <t>No</t>
        </is>
      </c>
      <c r="EO8" s="20" t="inlineStr">
        <is>
          <t>No</t>
        </is>
      </c>
      <c r="EP8" s="20" t="inlineStr">
        <is>
          <t>Yes</t>
        </is>
      </c>
      <c r="EQ8" s="20" t="inlineStr">
        <is>
          <t>No</t>
        </is>
      </c>
      <c r="ER8" s="20" t="inlineStr">
        <is>
          <t>No</t>
        </is>
      </c>
      <c r="ES8" s="20" t="inlineStr">
        <is>
          <t>No</t>
        </is>
      </c>
      <c r="ET8" s="20" t="inlineStr">
        <is>
          <t>No</t>
        </is>
      </c>
      <c r="EU8" s="20" t="inlineStr">
        <is>
          <t>No</t>
        </is>
      </c>
      <c r="EV8" s="20" t="inlineStr">
        <is>
          <t>No</t>
        </is>
      </c>
      <c r="EW8" s="20" t="inlineStr">
        <is>
          <t>No</t>
        </is>
      </c>
      <c r="EX8" s="20" t="inlineStr">
        <is>
          <t>No</t>
        </is>
      </c>
      <c r="EY8" s="20" t="inlineStr">
        <is>
          <t>No</t>
        </is>
      </c>
      <c r="FA8" s="20" t="inlineStr">
        <is>
          <t>Yes</t>
        </is>
      </c>
      <c r="FB8" s="20" t="inlineStr">
        <is>
          <t>No</t>
        </is>
      </c>
      <c r="FC8" s="20" t="inlineStr">
        <is>
          <t>No</t>
        </is>
      </c>
      <c r="FD8" s="20" t="inlineStr">
        <is>
          <t>No</t>
        </is>
      </c>
      <c r="FE8" s="20" t="inlineStr">
        <is>
          <t>No</t>
        </is>
      </c>
      <c r="FF8" s="20" t="inlineStr">
        <is>
          <t>No</t>
        </is>
      </c>
      <c r="FG8" s="20" t="inlineStr">
        <is>
          <t>No</t>
        </is>
      </c>
      <c r="FH8" s="20" t="inlineStr">
        <is>
          <t>No</t>
        </is>
      </c>
      <c r="FI8" s="20" t="inlineStr">
        <is>
          <t>No</t>
        </is>
      </c>
      <c r="FK8" s="20" t="inlineStr">
        <is>
          <t>Yes</t>
        </is>
      </c>
      <c r="FL8" s="20" t="inlineStr">
        <is>
          <t>No</t>
        </is>
      </c>
      <c r="FM8" s="20" t="inlineStr">
        <is>
          <t>No</t>
        </is>
      </c>
      <c r="FN8" s="20" t="inlineStr">
        <is>
          <t>No</t>
        </is>
      </c>
      <c r="FO8" s="20" t="inlineStr">
        <is>
          <t>No</t>
        </is>
      </c>
      <c r="FP8" s="20" t="inlineStr">
        <is>
          <t>No</t>
        </is>
      </c>
      <c r="FQ8" s="20" t="inlineStr">
        <is>
          <t>No</t>
        </is>
      </c>
      <c r="FS8" s="20" t="inlineStr">
        <is>
          <t>Yes</t>
        </is>
      </c>
      <c r="FT8" s="20" t="inlineStr">
        <is>
          <t>No</t>
        </is>
      </c>
      <c r="FU8" s="20" t="inlineStr">
        <is>
          <t>No</t>
        </is>
      </c>
      <c r="FV8" s="20" t="inlineStr">
        <is>
          <t>No</t>
        </is>
      </c>
      <c r="FW8" s="20" t="inlineStr">
        <is>
          <t>No</t>
        </is>
      </c>
      <c r="FX8" s="20" t="inlineStr">
        <is>
          <t>No</t>
        </is>
      </c>
      <c r="FY8" s="20" t="inlineStr">
        <is>
          <t>No</t>
        </is>
      </c>
      <c r="FZ8" s="20" t="inlineStr">
        <is>
          <t>No</t>
        </is>
      </c>
      <c r="GA8" s="20" t="inlineStr">
        <is>
          <t>No</t>
        </is>
      </c>
      <c r="GB8" s="20" t="inlineStr">
        <is>
          <t>No</t>
        </is>
      </c>
      <c r="GC8" s="20" t="inlineStr">
        <is>
          <t>No</t>
        </is>
      </c>
      <c r="GD8" s="20" t="inlineStr">
        <is>
          <t>No</t>
        </is>
      </c>
      <c r="GE8" s="20" t="inlineStr">
        <is>
          <t>No</t>
        </is>
      </c>
      <c r="GF8" s="20" t="inlineStr">
        <is>
          <t>No</t>
        </is>
      </c>
      <c r="GG8" s="20" t="inlineStr">
        <is>
          <t>No</t>
        </is>
      </c>
      <c r="GI8" s="20" t="inlineStr">
        <is>
          <t>Interesting survey. Some questions were technical but the overall flow was clear.</t>
        </is>
      </c>
    </row>
    <row r="9" ht="15" customHeight="1" s="21">
      <c r="A9" s="20" t="n">
        <v>8</v>
      </c>
      <c r="B9" s="20" t="inlineStr">
        <is>
          <t>1980-01-01 00:00:00</t>
        </is>
      </c>
      <c r="C9" s="20" t="n">
        <v>25</v>
      </c>
      <c r="D9" s="20" t="inlineStr">
        <is>
          <t>en</t>
        </is>
      </c>
      <c r="E9" s="20" t="n">
        <v>298488991</v>
      </c>
      <c r="F9" s="20" t="inlineStr">
        <is>
          <t>Student (graduate or undergraduate)</t>
        </is>
      </c>
      <c r="G9" s="20" t="inlineStr">
        <is>
          <t>Department of Biological Sciences</t>
        </is>
      </c>
      <c r="H9" s="20" t="inlineStr">
        <is>
          <t>Critical</t>
        </is>
      </c>
      <c r="I9" s="20" t="inlineStr">
        <is>
          <t>No</t>
        </is>
      </c>
      <c r="J9" s="20" t="inlineStr">
        <is>
          <t>No</t>
        </is>
      </c>
      <c r="K9" s="20" t="inlineStr">
        <is>
          <t>Yes</t>
        </is>
      </c>
      <c r="L9" s="20" t="inlineStr">
        <is>
          <t>Yes</t>
        </is>
      </c>
      <c r="M9" s="20" t="inlineStr">
        <is>
          <t>No</t>
        </is>
      </c>
      <c r="N9" s="20" t="inlineStr">
        <is>
          <t>Yes</t>
        </is>
      </c>
      <c r="O9" s="20" t="inlineStr">
        <is>
          <t>No</t>
        </is>
      </c>
      <c r="P9" s="20" t="inlineStr">
        <is>
          <t>No</t>
        </is>
      </c>
      <c r="R9" s="20" t="inlineStr">
        <is>
          <t>Somewhat confident</t>
        </is>
      </c>
      <c r="T9" s="20" t="inlineStr">
        <is>
          <t>No</t>
        </is>
      </c>
      <c r="U9" s="20" t="inlineStr">
        <is>
          <t>No</t>
        </is>
      </c>
      <c r="V9" s="20" t="inlineStr">
        <is>
          <t>Yes</t>
        </is>
      </c>
      <c r="W9" s="20" t="inlineStr">
        <is>
          <t>No</t>
        </is>
      </c>
      <c r="X9" s="20" t="inlineStr">
        <is>
          <t>No</t>
        </is>
      </c>
      <c r="Y9" s="20" t="inlineStr">
        <is>
          <t>Not aware of any formal support — our lab uses R and Python informally, guided by the PI.</t>
        </is>
      </c>
      <c r="Z9" s="20" t="inlineStr">
        <is>
          <t>N/A</t>
        </is>
      </c>
      <c r="AA9" s="20" t="inlineStr">
        <is>
          <t>N/A</t>
        </is>
      </c>
      <c r="AB9" s="20" t="inlineStr">
        <is>
          <t>N/A</t>
        </is>
      </c>
      <c r="AC9" s="20" t="inlineStr">
        <is>
          <t>N/A</t>
        </is>
      </c>
      <c r="AD9" s="20" t="inlineStr">
        <is>
          <t>N/A</t>
        </is>
      </c>
      <c r="AE9" s="20" t="inlineStr">
        <is>
          <t>N/A</t>
        </is>
      </c>
      <c r="AF9" s="20" t="inlineStr">
        <is>
          <t>Yes</t>
        </is>
      </c>
      <c r="AG9" s="20" t="inlineStr">
        <is>
          <t>I'm not aware of any compliance support for grad students working with open source code.</t>
        </is>
      </c>
      <c r="AH9" s="20" t="inlineStr">
        <is>
          <t>N/A</t>
        </is>
      </c>
      <c r="AI9" s="20" t="inlineStr">
        <is>
          <t>N/A</t>
        </is>
      </c>
      <c r="AJ9" s="20" t="inlineStr">
        <is>
          <t>N/A</t>
        </is>
      </c>
      <c r="AK9" s="20" t="inlineStr">
        <is>
          <t>Yes</t>
        </is>
      </c>
      <c r="AL9" s="20" t="inlineStr">
        <is>
          <t>IT department maybe, but I don't have visibility into this as a grad student.</t>
        </is>
      </c>
      <c r="AM9" s="20" t="inlineStr">
        <is>
          <t>No</t>
        </is>
      </c>
      <c r="AN9" s="20" t="inlineStr">
        <is>
          <t>Yes</t>
        </is>
      </c>
      <c r="AO9" s="20" t="inlineStr">
        <is>
          <t>No</t>
        </is>
      </c>
      <c r="AP9" s="20" t="inlineStr">
        <is>
          <t>Yes</t>
        </is>
      </c>
      <c r="AQ9" s="20" t="inlineStr">
        <is>
          <t>No</t>
        </is>
      </c>
      <c r="AR9" s="20" t="inlineStr">
        <is>
          <t>No</t>
        </is>
      </c>
      <c r="AS9" s="20" t="inlineStr">
        <is>
          <t>No</t>
        </is>
      </c>
      <c r="AT9" s="20" t="inlineStr">
        <is>
          <t>Our department encourages R and Python. I've never faced barriers installing open source tools.</t>
        </is>
      </c>
      <c r="AU9" s="20" t="inlineStr">
        <is>
          <t>N/A</t>
        </is>
      </c>
      <c r="AV9" s="20" t="inlineStr">
        <is>
          <t>N/A</t>
        </is>
      </c>
      <c r="AW9" s="20" t="inlineStr">
        <is>
          <t>N/A</t>
        </is>
      </c>
      <c r="AX9" s="20" t="inlineStr">
        <is>
          <t>N/A</t>
        </is>
      </c>
      <c r="AY9" s="20" t="inlineStr">
        <is>
          <t>N/A</t>
        </is>
      </c>
      <c r="AZ9" s="20" t="inlineStr">
        <is>
          <t>Yes</t>
        </is>
      </c>
      <c r="BA9" s="20" t="inlineStr">
        <is>
          <t>Nothing formal. My advisor approves what I post on GitHub but there's no university-level policy I'm aware of.</t>
        </is>
      </c>
      <c r="BB9" s="20" t="inlineStr">
        <is>
          <t>N/A</t>
        </is>
      </c>
      <c r="BC9" s="20" t="inlineStr">
        <is>
          <t>N/A</t>
        </is>
      </c>
      <c r="BD9" s="20" t="inlineStr">
        <is>
          <t>N/A</t>
        </is>
      </c>
      <c r="BE9" s="20" t="inlineStr">
        <is>
          <t>N/A</t>
        </is>
      </c>
      <c r="BF9" s="20" t="inlineStr">
        <is>
          <t>N/A</t>
        </is>
      </c>
      <c r="BG9" s="20" t="inlineStr">
        <is>
          <t>Yes</t>
        </is>
      </c>
      <c r="BH9" s="20" t="inlineStr">
        <is>
          <t>I'm not aware of any outreach or recognition for open source contributions from grad students.</t>
        </is>
      </c>
      <c r="BI9" s="20" t="inlineStr">
        <is>
          <t>No</t>
        </is>
      </c>
      <c r="BJ9" s="20" t="inlineStr">
        <is>
          <t>No</t>
        </is>
      </c>
      <c r="BK9" s="20" t="inlineStr">
        <is>
          <t>No</t>
        </is>
      </c>
      <c r="BL9" s="20" t="inlineStr">
        <is>
          <t>No</t>
        </is>
      </c>
      <c r="BM9" s="20" t="inlineStr">
        <is>
          <t>No</t>
        </is>
      </c>
      <c r="BN9" s="20" t="inlineStr">
        <is>
          <t>No</t>
        </is>
      </c>
      <c r="BO9" s="20" t="inlineStr">
        <is>
          <t>No</t>
        </is>
      </c>
      <c r="BP9" s="20" t="inlineStr">
        <is>
          <t>Yes</t>
        </is>
      </c>
      <c r="BQ9" s="20" t="inlineStr">
        <is>
          <t>No</t>
        </is>
      </c>
      <c r="BR9" s="20" t="inlineStr">
        <is>
          <t>The university HPC cluster is available for research computing. Not sure if it counts as open source support specifically.</t>
        </is>
      </c>
      <c r="BS9" s="20" t="inlineStr">
        <is>
          <t>Yes</t>
        </is>
      </c>
      <c r="BT9" s="20" t="inlineStr">
        <is>
          <t>No</t>
        </is>
      </c>
      <c r="BU9" s="20" t="inlineStr">
        <is>
          <t>No</t>
        </is>
      </c>
      <c r="BV9" s="20" t="inlineStr">
        <is>
          <t>Yes</t>
        </is>
      </c>
      <c r="BW9" s="20" t="inlineStr">
        <is>
          <t>No</t>
        </is>
      </c>
      <c r="BX9" s="20" t="inlineStr">
        <is>
          <t>No</t>
        </is>
      </c>
      <c r="BY9" s="20" t="inlineStr">
        <is>
          <t>No</t>
        </is>
      </c>
      <c r="BZ9" s="20" t="inlineStr">
        <is>
          <t>No</t>
        </is>
      </c>
      <c r="CA9" s="20" t="inlineStr">
        <is>
          <t>My PI and department chair seem supportive of open science, but I don't know of any formal budget or strategy for it.</t>
        </is>
      </c>
      <c r="CC9" s="20" t="inlineStr">
        <is>
          <t>Yes</t>
        </is>
      </c>
      <c r="CD9" s="20" t="inlineStr">
        <is>
          <t>No</t>
        </is>
      </c>
      <c r="CE9" s="20" t="inlineStr">
        <is>
          <t>No</t>
        </is>
      </c>
      <c r="CF9" s="20" t="inlineStr">
        <is>
          <t>No</t>
        </is>
      </c>
      <c r="CG9" s="20" t="inlineStr">
        <is>
          <t>Yes</t>
        </is>
      </c>
      <c r="CH9" s="20" t="inlineStr">
        <is>
          <t>No</t>
        </is>
      </c>
      <c r="CI9" s="20" t="inlineStr">
        <is>
          <t>No</t>
        </is>
      </c>
      <c r="CJ9" s="20" t="inlineStr">
        <is>
          <t>I'd love help understanding which license to use when releasing my analysis code. My PI isn't sure either.</t>
        </is>
      </c>
      <c r="CK9" s="20" t="inlineStr">
        <is>
          <t>Yes</t>
        </is>
      </c>
      <c r="CL9" s="20" t="inlineStr">
        <is>
          <t>No</t>
        </is>
      </c>
      <c r="CM9" s="20" t="inlineStr">
        <is>
          <t>Yes</t>
        </is>
      </c>
      <c r="CN9" s="20" t="inlineStr">
        <is>
          <t>No</t>
        </is>
      </c>
      <c r="CO9" s="20" t="inlineStr">
        <is>
          <t>A curated catalogue of recommended bioinformatics and data analysis tools would be extremely helpful for our lab.</t>
        </is>
      </c>
      <c r="CP9" s="20" t="inlineStr">
        <is>
          <t>No</t>
        </is>
      </c>
      <c r="CQ9" s="20" t="inlineStr">
        <is>
          <t>Yes</t>
        </is>
      </c>
      <c r="CR9" s="20" t="inlineStr">
        <is>
          <t>Yes</t>
        </is>
      </c>
      <c r="CS9" s="20" t="inlineStr">
        <is>
          <t>No</t>
        </is>
      </c>
      <c r="CT9" s="20" t="inlineStr">
        <is>
          <t>No</t>
        </is>
      </c>
      <c r="CU9" s="20" t="inlineStr">
        <is>
          <t>Our lab has built several analysis pipelines. I'd love support on how to properly open-source and document them for the community.</t>
        </is>
      </c>
      <c r="CV9" s="20" t="inlineStr">
        <is>
          <t>Yes</t>
        </is>
      </c>
      <c r="CW9" s="20" t="inlineStr">
        <is>
          <t>Yes</t>
        </is>
      </c>
      <c r="CX9" s="20" t="inlineStr">
        <is>
          <t>No</t>
        </is>
      </c>
      <c r="CY9" s="20" t="inlineStr">
        <is>
          <t>Yes</t>
        </is>
      </c>
      <c r="CZ9" s="20" t="inlineStr">
        <is>
          <t>No</t>
        </is>
      </c>
      <c r="DA9" s="20" t="inlineStr">
        <is>
          <t>Workshops on research software best practices and open source would be great. A community of grad students working on open science tools would also be valuable.</t>
        </is>
      </c>
      <c r="DB9" s="20" t="inlineStr">
        <is>
          <t>Yes</t>
        </is>
      </c>
      <c r="DC9" s="20" t="inlineStr">
        <is>
          <t>No</t>
        </is>
      </c>
      <c r="DD9" s="20" t="inlineStr">
        <is>
          <t>Yes</t>
        </is>
      </c>
      <c r="DE9" s="20" t="inlineStr">
        <is>
          <t>No</t>
        </is>
      </c>
      <c r="DF9" s="20" t="inlineStr">
        <is>
          <t>No</t>
        </is>
      </c>
      <c r="DG9" s="20" t="inlineStr">
        <is>
          <t>Knowing about funding opportunities specifically for open source research software would be very useful, especially for dissertation-related code.</t>
        </is>
      </c>
      <c r="DH9" s="20" t="inlineStr">
        <is>
          <t>No</t>
        </is>
      </c>
      <c r="DI9" s="20" t="inlineStr">
        <is>
          <t>No</t>
        </is>
      </c>
      <c r="DJ9" s="20" t="inlineStr">
        <is>
          <t>Yes</t>
        </is>
      </c>
      <c r="DK9" s="20" t="inlineStr">
        <is>
          <t>Yes</t>
        </is>
      </c>
      <c r="DL9" s="20" t="inlineStr">
        <is>
          <t>Yes</t>
        </is>
      </c>
      <c r="DM9" s="20" t="inlineStr">
        <is>
          <t>No</t>
        </is>
      </c>
      <c r="DN9" s="20" t="inlineStr">
        <is>
          <t>No</t>
        </is>
      </c>
      <c r="DO9" s="20" t="inlineStr">
        <is>
          <t>No</t>
        </is>
      </c>
      <c r="DP9" s="20" t="inlineStr">
        <is>
          <t>No</t>
        </is>
      </c>
      <c r="DQ9" s="20" t="inlineStr">
        <is>
          <t>Genomics data is enormous — affordable cloud storage and compute access would remove a major bottleneck for sharing reproducible analyses.</t>
        </is>
      </c>
      <c r="DR9" s="20" t="inlineStr">
        <is>
          <t>No</t>
        </is>
      </c>
      <c r="DS9" s="20" t="inlineStr">
        <is>
          <t>No</t>
        </is>
      </c>
      <c r="DT9" s="20" t="inlineStr">
        <is>
          <t>Yes</t>
        </is>
      </c>
      <c r="DU9" s="20" t="inlineStr">
        <is>
          <t>No</t>
        </is>
      </c>
      <c r="DV9" s="20" t="inlineStr">
        <is>
          <t>Yes</t>
        </is>
      </c>
      <c r="DW9" s="20" t="inlineStr">
        <is>
          <t>No</t>
        </is>
      </c>
      <c r="DX9" s="20" t="inlineStr">
        <is>
          <t>Open science hackathons would help build community. Help measuring the impact of our research software would also strengthen grant applications.</t>
        </is>
      </c>
      <c r="DZ9" s="20" t="inlineStr">
        <is>
          <t>Yes</t>
        </is>
      </c>
      <c r="EA9" s="20" t="inlineStr">
        <is>
          <t>No</t>
        </is>
      </c>
      <c r="EB9" s="20" t="inlineStr">
        <is>
          <t>Yes</t>
        </is>
      </c>
      <c r="EC9" s="20" t="inlineStr">
        <is>
          <t>Yes</t>
        </is>
      </c>
      <c r="ED9" s="20" t="inlineStr">
        <is>
          <t>Yes</t>
        </is>
      </c>
      <c r="EE9" s="20" t="inlineStr">
        <is>
          <t>No</t>
        </is>
      </c>
      <c r="EF9" s="20" t="inlineStr">
        <is>
          <t>Mostly use R and Python packages for bioinformatics; occasionally submit bug reports or small patches.</t>
        </is>
      </c>
      <c r="EG9" s="20" t="inlineStr">
        <is>
          <t>Yes</t>
        </is>
      </c>
      <c r="EH9" s="20" t="inlineStr">
        <is>
          <t>No</t>
        </is>
      </c>
      <c r="EI9" s="20" t="inlineStr">
        <is>
          <t>No</t>
        </is>
      </c>
      <c r="EJ9" s="20" t="inlineStr">
        <is>
          <t>Yes</t>
        </is>
      </c>
      <c r="EK9" s="20" t="inlineStr">
        <is>
          <t>Yes</t>
        </is>
      </c>
      <c r="EL9" s="20" t="inlineStr">
        <is>
          <t>No</t>
        </is>
      </c>
      <c r="EM9" s="20" t="inlineStr">
        <is>
          <t>No</t>
        </is>
      </c>
      <c r="EN9" s="20" t="inlineStr">
        <is>
          <t>No</t>
        </is>
      </c>
      <c r="EO9" s="20" t="inlineStr">
        <is>
          <t>No</t>
        </is>
      </c>
      <c r="EP9" s="20" t="inlineStr">
        <is>
          <t>No</t>
        </is>
      </c>
      <c r="EQ9" s="20" t="inlineStr">
        <is>
          <t>Yes</t>
        </is>
      </c>
      <c r="ER9" s="20" t="inlineStr">
        <is>
          <t>Yes</t>
        </is>
      </c>
      <c r="ES9" s="20" t="inlineStr">
        <is>
          <t>No</t>
        </is>
      </c>
      <c r="ET9" s="20" t="inlineStr">
        <is>
          <t>No</t>
        </is>
      </c>
      <c r="EU9" s="20" t="inlineStr">
        <is>
          <t>No</t>
        </is>
      </c>
      <c r="EV9" s="20" t="inlineStr">
        <is>
          <t>No</t>
        </is>
      </c>
      <c r="EW9" s="20" t="inlineStr">
        <is>
          <t>No</t>
        </is>
      </c>
      <c r="EX9" s="20" t="inlineStr">
        <is>
          <t>No</t>
        </is>
      </c>
      <c r="EY9" s="20" t="inlineStr">
        <is>
          <t>No</t>
        </is>
      </c>
      <c r="EZ9" s="20" t="inlineStr">
        <is>
          <t>Primarily a user who occasionally contributes fixes to R packages I rely on for my dissertation research.</t>
        </is>
      </c>
      <c r="FA9" s="20" t="inlineStr">
        <is>
          <t>No</t>
        </is>
      </c>
      <c r="FB9" s="20" t="inlineStr">
        <is>
          <t>No</t>
        </is>
      </c>
      <c r="FC9" s="20" t="inlineStr">
        <is>
          <t>Yes</t>
        </is>
      </c>
      <c r="FD9" s="20" t="inlineStr">
        <is>
          <t>Yes</t>
        </is>
      </c>
      <c r="FE9" s="20" t="inlineStr">
        <is>
          <t>No</t>
        </is>
      </c>
      <c r="FF9" s="20" t="inlineStr">
        <is>
          <t>Yes</t>
        </is>
      </c>
      <c r="FG9" s="20" t="inlineStr">
        <is>
          <t>Yes</t>
        </is>
      </c>
      <c r="FH9" s="20" t="inlineStr">
        <is>
          <t>No</t>
        </is>
      </c>
      <c r="FI9" s="20" t="inlineStr">
        <is>
          <t>No</t>
        </is>
      </c>
      <c r="FK9" s="20" t="inlineStr">
        <is>
          <t>No</t>
        </is>
      </c>
      <c r="FL9" s="20" t="inlineStr">
        <is>
          <t>No</t>
        </is>
      </c>
      <c r="FM9" s="20" t="inlineStr">
        <is>
          <t>No</t>
        </is>
      </c>
      <c r="FN9" s="20" t="inlineStr">
        <is>
          <t>Yes</t>
        </is>
      </c>
      <c r="FO9" s="20" t="inlineStr">
        <is>
          <t>Yes</t>
        </is>
      </c>
      <c r="FP9" s="20" t="inlineStr">
        <is>
          <t>No</t>
        </is>
      </c>
      <c r="FQ9" s="20" t="inlineStr">
        <is>
          <t>No</t>
        </is>
      </c>
      <c r="FR9" s="20" t="inlineStr">
        <is>
          <t>R packages and Python scripts for bioinformatics and statistical analysis.</t>
        </is>
      </c>
      <c r="FS9" s="20" t="inlineStr">
        <is>
          <t>Yes</t>
        </is>
      </c>
      <c r="FT9" s="20" t="inlineStr">
        <is>
          <t>Yes</t>
        </is>
      </c>
      <c r="FU9" s="20" t="inlineStr">
        <is>
          <t>No</t>
        </is>
      </c>
      <c r="FV9" s="20" t="inlineStr">
        <is>
          <t>No</t>
        </is>
      </c>
      <c r="FW9" s="20" t="inlineStr">
        <is>
          <t>Yes</t>
        </is>
      </c>
      <c r="FX9" s="20" t="inlineStr">
        <is>
          <t>No</t>
        </is>
      </c>
      <c r="FY9" s="20" t="inlineStr">
        <is>
          <t>No</t>
        </is>
      </c>
      <c r="FZ9" s="20" t="inlineStr">
        <is>
          <t>No</t>
        </is>
      </c>
      <c r="GA9" s="20" t="inlineStr">
        <is>
          <t>No</t>
        </is>
      </c>
      <c r="GB9" s="20" t="inlineStr">
        <is>
          <t>No</t>
        </is>
      </c>
      <c r="GC9" s="20" t="inlineStr">
        <is>
          <t>No</t>
        </is>
      </c>
      <c r="GD9" s="20" t="inlineStr">
        <is>
          <t>Yes</t>
        </is>
      </c>
      <c r="GE9" s="20" t="inlineStr">
        <is>
          <t>Yes</t>
        </is>
      </c>
      <c r="GF9" s="20" t="inlineStr">
        <is>
          <t>No</t>
        </is>
      </c>
      <c r="GG9" s="20" t="inlineStr">
        <is>
          <t>No</t>
        </is>
      </c>
      <c r="GI9" s="20" t="inlineStr">
        <is>
          <t>Really glad someone is asking these questions. As a grad student, open source is essential to my reproducibility work but I feel unsupported — no guidance on licensing, no funding, and no recognition. An OSPO that serves early-career researchers specifically would be transformative. Survey took about 12 minutes, felt thorough.</t>
        </is>
      </c>
    </row>
    <row r="10" ht="15" customHeight="1" s="21">
      <c r="A10" s="20" t="n">
        <v>9</v>
      </c>
      <c r="B10" s="20" t="inlineStr">
        <is>
          <t>1980-01-01 00:00:00</t>
        </is>
      </c>
      <c r="C10" s="20" t="n">
        <v>25</v>
      </c>
      <c r="D10" s="20" t="inlineStr">
        <is>
          <t>en</t>
        </is>
      </c>
      <c r="E10" s="20" t="n">
        <v>101380080</v>
      </c>
      <c r="F10" s="20" t="inlineStr">
        <is>
          <t>Faculty / Academic staff</t>
        </is>
      </c>
      <c r="G10" s="20" t="n"/>
      <c r="H10" s="20" t="inlineStr">
        <is>
          <t>Somewhat important</t>
        </is>
      </c>
      <c r="I10" s="20" t="inlineStr">
        <is>
          <t>Yes</t>
        </is>
      </c>
      <c r="J10" s="20" t="inlineStr">
        <is>
          <t>No</t>
        </is>
      </c>
      <c r="K10" s="20" t="inlineStr">
        <is>
          <t>No</t>
        </is>
      </c>
      <c r="L10" s="20" t="inlineStr">
        <is>
          <t>No</t>
        </is>
      </c>
      <c r="M10" s="20" t="inlineStr">
        <is>
          <t>Yes</t>
        </is>
      </c>
      <c r="N10" s="20" t="inlineStr">
        <is>
          <t>No</t>
        </is>
      </c>
      <c r="O10" s="20" t="inlineStr">
        <is>
          <t>No</t>
        </is>
      </c>
      <c r="P10" s="20" t="inlineStr">
        <is>
          <t>No</t>
        </is>
      </c>
      <c r="R10" s="20" t="inlineStr">
        <is>
          <t>Somewhat confident</t>
        </is>
      </c>
      <c r="T10" s="20" t="inlineStr">
        <is>
          <t>N/A</t>
        </is>
      </c>
      <c r="U10" s="20" t="inlineStr">
        <is>
          <t>N/A</t>
        </is>
      </c>
      <c r="V10" s="20" t="inlineStr">
        <is>
          <t>N/A</t>
        </is>
      </c>
      <c r="W10" s="20" t="inlineStr">
        <is>
          <t>N/A</t>
        </is>
      </c>
      <c r="X10" s="20" t="inlineStr">
        <is>
          <t>Yes</t>
        </is>
      </c>
      <c r="Z10" s="20" t="inlineStr">
        <is>
          <t>N/A</t>
        </is>
      </c>
      <c r="AA10" s="20" t="inlineStr">
        <is>
          <t>N/A</t>
        </is>
      </c>
      <c r="AB10" s="20" t="inlineStr">
        <is>
          <t>N/A</t>
        </is>
      </c>
      <c r="AC10" s="20" t="inlineStr">
        <is>
          <t>N/A</t>
        </is>
      </c>
      <c r="AD10" s="20" t="inlineStr">
        <is>
          <t>N/A</t>
        </is>
      </c>
      <c r="AE10" s="20" t="inlineStr">
        <is>
          <t>N/A</t>
        </is>
      </c>
      <c r="AF10" s="20" t="inlineStr">
        <is>
          <t>Yes</t>
        </is>
      </c>
      <c r="AH10" s="20" t="inlineStr">
        <is>
          <t>Yes</t>
        </is>
      </c>
      <c r="AI10" s="20" t="inlineStr">
        <is>
          <t>No</t>
        </is>
      </c>
      <c r="AJ10" s="20" t="inlineStr">
        <is>
          <t>No</t>
        </is>
      </c>
      <c r="AK10" s="20" t="inlineStr">
        <is>
          <t>No</t>
        </is>
      </c>
      <c r="AM10" s="20" t="inlineStr">
        <is>
          <t>Yes</t>
        </is>
      </c>
      <c r="AN10" s="20" t="inlineStr">
        <is>
          <t>No</t>
        </is>
      </c>
      <c r="AO10" s="20" t="inlineStr">
        <is>
          <t>Yes</t>
        </is>
      </c>
      <c r="AP10" s="20" t="inlineStr">
        <is>
          <t>No</t>
        </is>
      </c>
      <c r="AQ10" s="20" t="inlineStr">
        <is>
          <t>No</t>
        </is>
      </c>
      <c r="AR10" s="20" t="inlineStr">
        <is>
          <t>No</t>
        </is>
      </c>
      <c r="AS10" s="20" t="inlineStr">
        <is>
          <t>No</t>
        </is>
      </c>
      <c r="AU10" s="20" t="inlineStr">
        <is>
          <t>No</t>
        </is>
      </c>
      <c r="AV10" s="20" t="inlineStr">
        <is>
          <t>Yes</t>
        </is>
      </c>
      <c r="AW10" s="20" t="inlineStr">
        <is>
          <t>No</t>
        </is>
      </c>
      <c r="AX10" s="20" t="inlineStr">
        <is>
          <t>No</t>
        </is>
      </c>
      <c r="AY10" s="20" t="inlineStr">
        <is>
          <t>No</t>
        </is>
      </c>
      <c r="AZ10" s="20" t="inlineStr">
        <is>
          <t>No</t>
        </is>
      </c>
      <c r="BB10" s="20" t="inlineStr">
        <is>
          <t>N/A</t>
        </is>
      </c>
      <c r="BC10" s="20" t="inlineStr">
        <is>
          <t>N/A</t>
        </is>
      </c>
      <c r="BD10" s="20" t="inlineStr">
        <is>
          <t>N/A</t>
        </is>
      </c>
      <c r="BE10" s="20" t="inlineStr">
        <is>
          <t>N/A</t>
        </is>
      </c>
      <c r="BF10" s="20" t="inlineStr">
        <is>
          <t>N/A</t>
        </is>
      </c>
      <c r="BG10" s="20" t="inlineStr">
        <is>
          <t>Yes</t>
        </is>
      </c>
      <c r="BI10" s="20" t="inlineStr">
        <is>
          <t>Yes</t>
        </is>
      </c>
      <c r="BJ10" s="20" t="inlineStr">
        <is>
          <t>No</t>
        </is>
      </c>
      <c r="BK10" s="20" t="inlineStr">
        <is>
          <t>No</t>
        </is>
      </c>
      <c r="BL10" s="20" t="inlineStr">
        <is>
          <t>No</t>
        </is>
      </c>
      <c r="BM10" s="20" t="inlineStr">
        <is>
          <t>No</t>
        </is>
      </c>
      <c r="BN10" s="20" t="inlineStr">
        <is>
          <t>No</t>
        </is>
      </c>
      <c r="BO10" s="20" t="inlineStr">
        <is>
          <t>No</t>
        </is>
      </c>
      <c r="BP10" s="20" t="inlineStr">
        <is>
          <t>No</t>
        </is>
      </c>
      <c r="BQ10" s="20" t="inlineStr">
        <is>
          <t>No</t>
        </is>
      </c>
      <c r="BS10" s="20" t="inlineStr">
        <is>
          <t>Yes</t>
        </is>
      </c>
      <c r="BT10" s="20" t="inlineStr">
        <is>
          <t>No</t>
        </is>
      </c>
      <c r="BU10" s="20" t="inlineStr">
        <is>
          <t>No</t>
        </is>
      </c>
      <c r="BV10" s="20" t="inlineStr">
        <is>
          <t>No</t>
        </is>
      </c>
      <c r="BW10" s="20" t="inlineStr">
        <is>
          <t>No</t>
        </is>
      </c>
      <c r="BX10" s="20" t="inlineStr">
        <is>
          <t>No</t>
        </is>
      </c>
      <c r="BY10" s="20" t="inlineStr">
        <is>
          <t>No</t>
        </is>
      </c>
      <c r="BZ10" s="20" t="inlineStr">
        <is>
          <t>No</t>
        </is>
      </c>
      <c r="CC10" s="20" t="inlineStr">
        <is>
          <t>No</t>
        </is>
      </c>
      <c r="CD10" s="20" t="inlineStr">
        <is>
          <t>Yes</t>
        </is>
      </c>
      <c r="CE10" s="20" t="inlineStr">
        <is>
          <t>Yes</t>
        </is>
      </c>
      <c r="CF10" s="20" t="inlineStr">
        <is>
          <t>No</t>
        </is>
      </c>
      <c r="CG10" s="20" t="inlineStr">
        <is>
          <t>No</t>
        </is>
      </c>
      <c r="CH10" s="20" t="inlineStr">
        <is>
          <t>No</t>
        </is>
      </c>
      <c r="CI10" s="20" t="inlineStr">
        <is>
          <t>No</t>
        </is>
      </c>
      <c r="CK10" s="20" t="inlineStr">
        <is>
          <t>Yes</t>
        </is>
      </c>
      <c r="CL10" s="20" t="inlineStr">
        <is>
          <t>No</t>
        </is>
      </c>
      <c r="CM10" s="20" t="inlineStr">
        <is>
          <t>No</t>
        </is>
      </c>
      <c r="CN10" s="20" t="inlineStr">
        <is>
          <t>No</t>
        </is>
      </c>
      <c r="CP10" s="20" t="inlineStr">
        <is>
          <t>Yes</t>
        </is>
      </c>
      <c r="CQ10" s="20" t="inlineStr">
        <is>
          <t>No</t>
        </is>
      </c>
      <c r="CR10" s="20" t="inlineStr">
        <is>
          <t>Yes</t>
        </is>
      </c>
      <c r="CS10" s="20" t="inlineStr">
        <is>
          <t>No</t>
        </is>
      </c>
      <c r="CT10" s="20" t="inlineStr">
        <is>
          <t>No</t>
        </is>
      </c>
      <c r="CV10" s="20" t="inlineStr">
        <is>
          <t>N/A</t>
        </is>
      </c>
      <c r="CW10" s="20" t="inlineStr">
        <is>
          <t>N/A</t>
        </is>
      </c>
      <c r="CX10" s="20" t="inlineStr">
        <is>
          <t>N/A</t>
        </is>
      </c>
      <c r="CY10" s="20" t="inlineStr">
        <is>
          <t>N/A</t>
        </is>
      </c>
      <c r="CZ10" s="20" t="inlineStr">
        <is>
          <t>Yes</t>
        </is>
      </c>
      <c r="DB10" s="20" t="inlineStr">
        <is>
          <t>Yes</t>
        </is>
      </c>
      <c r="DC10" s="20" t="inlineStr">
        <is>
          <t>No</t>
        </is>
      </c>
      <c r="DD10" s="20" t="inlineStr">
        <is>
          <t>No</t>
        </is>
      </c>
      <c r="DE10" s="20" t="inlineStr">
        <is>
          <t>No</t>
        </is>
      </c>
      <c r="DF10" s="20" t="inlineStr">
        <is>
          <t>No</t>
        </is>
      </c>
      <c r="DH10" s="20" t="inlineStr">
        <is>
          <t>No</t>
        </is>
      </c>
      <c r="DI10" s="20" t="inlineStr">
        <is>
          <t>No</t>
        </is>
      </c>
      <c r="DJ10" s="20" t="inlineStr">
        <is>
          <t>No</t>
        </is>
      </c>
      <c r="DK10" s="20" t="inlineStr">
        <is>
          <t>No</t>
        </is>
      </c>
      <c r="DL10" s="20" t="inlineStr">
        <is>
          <t>Yes</t>
        </is>
      </c>
      <c r="DM10" s="20" t="inlineStr">
        <is>
          <t>Yes</t>
        </is>
      </c>
      <c r="DN10" s="20" t="inlineStr">
        <is>
          <t>No</t>
        </is>
      </c>
      <c r="DO10" s="20" t="inlineStr">
        <is>
          <t>No</t>
        </is>
      </c>
      <c r="DP10" s="20" t="inlineStr">
        <is>
          <t>No</t>
        </is>
      </c>
      <c r="DR10" s="20" t="inlineStr">
        <is>
          <t>No</t>
        </is>
      </c>
      <c r="DS10" s="20" t="inlineStr">
        <is>
          <t>No</t>
        </is>
      </c>
      <c r="DT10" s="20" t="inlineStr">
        <is>
          <t>Yes</t>
        </is>
      </c>
      <c r="DU10" s="20" t="inlineStr">
        <is>
          <t>No</t>
        </is>
      </c>
      <c r="DV10" s="20" t="inlineStr">
        <is>
          <t>No</t>
        </is>
      </c>
      <c r="DW10" s="20" t="inlineStr">
        <is>
          <t>No</t>
        </is>
      </c>
      <c r="DZ10" s="20" t="inlineStr">
        <is>
          <t>Yes</t>
        </is>
      </c>
      <c r="EA10" s="20" t="inlineStr">
        <is>
          <t>No</t>
        </is>
      </c>
      <c r="EB10" s="20" t="inlineStr">
        <is>
          <t>Yes</t>
        </is>
      </c>
      <c r="EC10" s="20" t="inlineStr">
        <is>
          <t>Yes</t>
        </is>
      </c>
      <c r="ED10" s="20" t="inlineStr">
        <is>
          <t>No</t>
        </is>
      </c>
      <c r="EE10" s="20" t="inlineStr">
        <is>
          <t>No</t>
        </is>
      </c>
      <c r="EG10" s="20" t="inlineStr">
        <is>
          <t>Yes</t>
        </is>
      </c>
      <c r="EH10" s="20" t="inlineStr">
        <is>
          <t>No</t>
        </is>
      </c>
      <c r="EI10" s="20" t="inlineStr">
        <is>
          <t>Yes</t>
        </is>
      </c>
      <c r="EJ10" s="20" t="inlineStr">
        <is>
          <t>No</t>
        </is>
      </c>
      <c r="EK10" s="20" t="inlineStr">
        <is>
          <t>No</t>
        </is>
      </c>
      <c r="EL10" s="20" t="inlineStr">
        <is>
          <t>No</t>
        </is>
      </c>
      <c r="EM10" s="20" t="inlineStr">
        <is>
          <t>No</t>
        </is>
      </c>
      <c r="EN10" s="20" t="inlineStr">
        <is>
          <t>No</t>
        </is>
      </c>
      <c r="EO10" s="20" t="inlineStr">
        <is>
          <t>No</t>
        </is>
      </c>
      <c r="EP10" s="20" t="inlineStr">
        <is>
          <t>No</t>
        </is>
      </c>
      <c r="EQ10" s="20" t="inlineStr">
        <is>
          <t>Yes</t>
        </is>
      </c>
      <c r="ER10" s="20" t="inlineStr">
        <is>
          <t>No</t>
        </is>
      </c>
      <c r="ES10" s="20" t="inlineStr">
        <is>
          <t>No</t>
        </is>
      </c>
      <c r="ET10" s="20" t="inlineStr">
        <is>
          <t>No</t>
        </is>
      </c>
      <c r="EU10" s="20" t="inlineStr">
        <is>
          <t>No</t>
        </is>
      </c>
      <c r="EV10" s="20" t="inlineStr">
        <is>
          <t>No</t>
        </is>
      </c>
      <c r="EW10" s="20" t="inlineStr">
        <is>
          <t>No</t>
        </is>
      </c>
      <c r="EX10" s="20" t="inlineStr">
        <is>
          <t>No</t>
        </is>
      </c>
      <c r="EY10" s="20" t="inlineStr">
        <is>
          <t>No</t>
        </is>
      </c>
      <c r="FA10" s="20" t="inlineStr">
        <is>
          <t>No</t>
        </is>
      </c>
      <c r="FB10" s="20" t="inlineStr">
        <is>
          <t>No</t>
        </is>
      </c>
      <c r="FC10" s="20" t="inlineStr">
        <is>
          <t>Yes</t>
        </is>
      </c>
      <c r="FD10" s="20" t="inlineStr">
        <is>
          <t>Yes</t>
        </is>
      </c>
      <c r="FE10" s="20" t="inlineStr">
        <is>
          <t>No</t>
        </is>
      </c>
      <c r="FF10" s="20" t="inlineStr">
        <is>
          <t>No</t>
        </is>
      </c>
      <c r="FG10" s="20" t="inlineStr">
        <is>
          <t>No</t>
        </is>
      </c>
      <c r="FH10" s="20" t="inlineStr">
        <is>
          <t>No</t>
        </is>
      </c>
      <c r="FI10" s="20" t="inlineStr">
        <is>
          <t>No</t>
        </is>
      </c>
      <c r="FK10" s="20" t="inlineStr">
        <is>
          <t>No</t>
        </is>
      </c>
      <c r="FL10" s="20" t="inlineStr">
        <is>
          <t>No</t>
        </is>
      </c>
      <c r="FM10" s="20" t="inlineStr">
        <is>
          <t>Yes</t>
        </is>
      </c>
      <c r="FN10" s="20" t="inlineStr">
        <is>
          <t>Yes</t>
        </is>
      </c>
      <c r="FO10" s="20" t="inlineStr">
        <is>
          <t>No</t>
        </is>
      </c>
      <c r="FP10" s="20" t="inlineStr">
        <is>
          <t>No</t>
        </is>
      </c>
      <c r="FQ10" s="20" t="inlineStr">
        <is>
          <t>No</t>
        </is>
      </c>
      <c r="FS10" s="20" t="inlineStr">
        <is>
          <t>Yes</t>
        </is>
      </c>
      <c r="FT10" s="20" t="inlineStr">
        <is>
          <t>No</t>
        </is>
      </c>
      <c r="FU10" s="20" t="inlineStr">
        <is>
          <t>No</t>
        </is>
      </c>
      <c r="FV10" s="20" t="inlineStr">
        <is>
          <t>No</t>
        </is>
      </c>
      <c r="FW10" s="20" t="inlineStr">
        <is>
          <t>Yes</t>
        </is>
      </c>
      <c r="FX10" s="20" t="inlineStr">
        <is>
          <t>No</t>
        </is>
      </c>
      <c r="FY10" s="20" t="inlineStr">
        <is>
          <t>No</t>
        </is>
      </c>
      <c r="FZ10" s="20" t="inlineStr">
        <is>
          <t>No</t>
        </is>
      </c>
      <c r="GA10" s="20" t="inlineStr">
        <is>
          <t>No</t>
        </is>
      </c>
      <c r="GB10" s="20" t="inlineStr">
        <is>
          <t>No</t>
        </is>
      </c>
      <c r="GC10" s="20" t="inlineStr">
        <is>
          <t>No</t>
        </is>
      </c>
      <c r="GD10" s="20" t="inlineStr">
        <is>
          <t>No</t>
        </is>
      </c>
      <c r="GE10" s="20" t="inlineStr">
        <is>
          <t>No</t>
        </is>
      </c>
      <c r="GF10" s="20" t="inlineStr">
        <is>
          <t>No</t>
        </is>
      </c>
      <c r="GG10" s="20" t="inlineStr">
        <is>
          <t>No</t>
        </is>
      </c>
      <c r="GH10" s="20" t="n"/>
      <c r="GI10" s="20" t="inlineStr">
        <is>
          <t>Survey was clear but felt lengthy. The 8 practices sections are repetitive — could perhaps be condensed. Took about 13 minutes. The distinction between "practices" and "support needs" was not always obvious.</t>
        </is>
      </c>
    </row>
    <row r="11" ht="15" customHeight="1" s="21">
      <c r="A11" s="20" t="n">
        <v>10</v>
      </c>
      <c r="B11" s="20" t="inlineStr">
        <is>
          <t>1980-01-01 00:00:00</t>
        </is>
      </c>
      <c r="C11" s="20" t="n">
        <v>25</v>
      </c>
      <c r="D11" s="20" t="inlineStr">
        <is>
          <t>en</t>
        </is>
      </c>
      <c r="E11" s="20" t="n">
        <v>2080563162</v>
      </c>
      <c r="F11" s="20" t="inlineStr">
        <is>
          <t>Leadership / Administration</t>
        </is>
      </c>
      <c r="G11" s="20" t="n"/>
      <c r="H11" s="20" t="inlineStr">
        <is>
          <t>Important</t>
        </is>
      </c>
      <c r="I11" s="20" t="inlineStr">
        <is>
          <t>Yes</t>
        </is>
      </c>
      <c r="J11" s="20" t="inlineStr">
        <is>
          <t>Yes</t>
        </is>
      </c>
      <c r="K11" s="20" t="inlineStr">
        <is>
          <t>No</t>
        </is>
      </c>
      <c r="L11" s="20" t="inlineStr">
        <is>
          <t>No</t>
        </is>
      </c>
      <c r="M11" s="20" t="inlineStr">
        <is>
          <t>No</t>
        </is>
      </c>
      <c r="N11" s="20" t="inlineStr">
        <is>
          <t>No</t>
        </is>
      </c>
      <c r="O11" s="20" t="inlineStr">
        <is>
          <t>Yes</t>
        </is>
      </c>
      <c r="P11" s="20" t="inlineStr">
        <is>
          <t>No</t>
        </is>
      </c>
      <c r="R11" s="20" t="inlineStr">
        <is>
          <t>Confident</t>
        </is>
      </c>
      <c r="T11" s="20" t="inlineStr">
        <is>
          <t>No</t>
        </is>
      </c>
      <c r="U11" s="20" t="inlineStr">
        <is>
          <t>Yes</t>
        </is>
      </c>
      <c r="V11" s="20" t="inlineStr">
        <is>
          <t>Yes</t>
        </is>
      </c>
      <c r="W11" s="20" t="inlineStr">
        <is>
          <t>No</t>
        </is>
      </c>
      <c r="X11" s="20" t="inlineStr">
        <is>
          <t>No</t>
        </is>
      </c>
      <c r="Z11" s="20" t="inlineStr">
        <is>
          <t>Yes</t>
        </is>
      </c>
      <c r="AA11" s="20" t="inlineStr">
        <is>
          <t>Yes</t>
        </is>
      </c>
      <c r="AB11" s="20" t="inlineStr">
        <is>
          <t>No</t>
        </is>
      </c>
      <c r="AC11" s="20" t="inlineStr">
        <is>
          <t>Yes</t>
        </is>
      </c>
      <c r="AD11" s="20" t="inlineStr">
        <is>
          <t>No</t>
        </is>
      </c>
      <c r="AE11" s="20" t="inlineStr">
        <is>
          <t>No</t>
        </is>
      </c>
      <c r="AF11" s="20" t="inlineStr">
        <is>
          <t>No</t>
        </is>
      </c>
      <c r="AH11" s="20" t="inlineStr">
        <is>
          <t>Yes</t>
        </is>
      </c>
      <c r="AI11" s="20" t="inlineStr">
        <is>
          <t>Yes</t>
        </is>
      </c>
      <c r="AJ11" s="20" t="inlineStr">
        <is>
          <t>Yes</t>
        </is>
      </c>
      <c r="AK11" s="20" t="inlineStr">
        <is>
          <t>No</t>
        </is>
      </c>
      <c r="AM11" s="20" t="inlineStr">
        <is>
          <t>Yes</t>
        </is>
      </c>
      <c r="AN11" s="20" t="inlineStr">
        <is>
          <t>No</t>
        </is>
      </c>
      <c r="AO11" s="20" t="inlineStr">
        <is>
          <t>Yes</t>
        </is>
      </c>
      <c r="AP11" s="20" t="inlineStr">
        <is>
          <t>Yes</t>
        </is>
      </c>
      <c r="AQ11" s="20" t="inlineStr">
        <is>
          <t>No</t>
        </is>
      </c>
      <c r="AR11" s="20" t="inlineStr">
        <is>
          <t>No</t>
        </is>
      </c>
      <c r="AS11" s="20" t="inlineStr">
        <is>
          <t>No</t>
        </is>
      </c>
      <c r="AU11" s="20" t="inlineStr">
        <is>
          <t>N/A</t>
        </is>
      </c>
      <c r="AV11" s="20" t="inlineStr">
        <is>
          <t>N/A</t>
        </is>
      </c>
      <c r="AW11" s="20" t="inlineStr">
        <is>
          <t>N/A</t>
        </is>
      </c>
      <c r="AX11" s="20" t="inlineStr">
        <is>
          <t>N/A</t>
        </is>
      </c>
      <c r="AY11" s="20" t="inlineStr">
        <is>
          <t>N/A</t>
        </is>
      </c>
      <c r="AZ11" s="20" t="inlineStr">
        <is>
          <t>Yes</t>
        </is>
      </c>
      <c r="BB11" s="20" t="inlineStr">
        <is>
          <t>N/A</t>
        </is>
      </c>
      <c r="BC11" s="20" t="inlineStr">
        <is>
          <t>N/A</t>
        </is>
      </c>
      <c r="BD11" s="20" t="inlineStr">
        <is>
          <t>N/A</t>
        </is>
      </c>
      <c r="BE11" s="20" t="inlineStr">
        <is>
          <t>N/A</t>
        </is>
      </c>
      <c r="BF11" s="20" t="inlineStr">
        <is>
          <t>N/A</t>
        </is>
      </c>
      <c r="BG11" s="20" t="inlineStr">
        <is>
          <t>Yes</t>
        </is>
      </c>
      <c r="BI11" s="20" t="inlineStr">
        <is>
          <t>Yes</t>
        </is>
      </c>
      <c r="BJ11" s="20" t="inlineStr">
        <is>
          <t>Yes</t>
        </is>
      </c>
      <c r="BK11" s="20" t="inlineStr">
        <is>
          <t>No</t>
        </is>
      </c>
      <c r="BL11" s="20" t="inlineStr">
        <is>
          <t>No</t>
        </is>
      </c>
      <c r="BM11" s="20" t="inlineStr">
        <is>
          <t>No</t>
        </is>
      </c>
      <c r="BN11" s="20" t="inlineStr">
        <is>
          <t>No</t>
        </is>
      </c>
      <c r="BO11" s="20" t="inlineStr">
        <is>
          <t>No</t>
        </is>
      </c>
      <c r="BP11" s="20" t="inlineStr">
        <is>
          <t>No</t>
        </is>
      </c>
      <c r="BQ11" s="20" t="inlineStr">
        <is>
          <t>No</t>
        </is>
      </c>
      <c r="BS11" s="20" t="inlineStr">
        <is>
          <t>Yes</t>
        </is>
      </c>
      <c r="BT11" s="20" t="inlineStr">
        <is>
          <t>Yes</t>
        </is>
      </c>
      <c r="BU11" s="20" t="inlineStr">
        <is>
          <t>No</t>
        </is>
      </c>
      <c r="BV11" s="20" t="inlineStr">
        <is>
          <t>No</t>
        </is>
      </c>
      <c r="BW11" s="20" t="inlineStr">
        <is>
          <t>No</t>
        </is>
      </c>
      <c r="BX11" s="20" t="inlineStr">
        <is>
          <t>No</t>
        </is>
      </c>
      <c r="BY11" s="20" t="inlineStr">
        <is>
          <t>No</t>
        </is>
      </c>
      <c r="BZ11" s="20" t="inlineStr">
        <is>
          <t>No</t>
        </is>
      </c>
      <c r="CC11" s="20" t="inlineStr">
        <is>
          <t>No</t>
        </is>
      </c>
      <c r="CD11" s="20" t="inlineStr">
        <is>
          <t>Yes</t>
        </is>
      </c>
      <c r="CE11" s="20" t="inlineStr">
        <is>
          <t>Yes</t>
        </is>
      </c>
      <c r="CF11" s="20" t="inlineStr">
        <is>
          <t>No</t>
        </is>
      </c>
      <c r="CG11" s="20" t="inlineStr">
        <is>
          <t>Yes</t>
        </is>
      </c>
      <c r="CH11" s="20" t="inlineStr">
        <is>
          <t>No</t>
        </is>
      </c>
      <c r="CI11" s="20" t="inlineStr">
        <is>
          <t>No</t>
        </is>
      </c>
      <c r="CK11" s="20" t="inlineStr">
        <is>
          <t>Yes</t>
        </is>
      </c>
      <c r="CL11" s="20" t="inlineStr">
        <is>
          <t>Yes</t>
        </is>
      </c>
      <c r="CM11" s="20" t="inlineStr">
        <is>
          <t>No</t>
        </is>
      </c>
      <c r="CN11" s="20" t="inlineStr">
        <is>
          <t>No</t>
        </is>
      </c>
      <c r="CP11" s="20" t="inlineStr">
        <is>
          <t>Yes</t>
        </is>
      </c>
      <c r="CQ11" s="20" t="inlineStr">
        <is>
          <t>No</t>
        </is>
      </c>
      <c r="CR11" s="20" t="inlineStr">
        <is>
          <t>Yes</t>
        </is>
      </c>
      <c r="CS11" s="20" t="inlineStr">
        <is>
          <t>No</t>
        </is>
      </c>
      <c r="CT11" s="20" t="inlineStr">
        <is>
          <t>No</t>
        </is>
      </c>
      <c r="CV11" s="20" t="inlineStr">
        <is>
          <t>N/A</t>
        </is>
      </c>
      <c r="CW11" s="20" t="inlineStr">
        <is>
          <t>N/A</t>
        </is>
      </c>
      <c r="CX11" s="20" t="inlineStr">
        <is>
          <t>N/A</t>
        </is>
      </c>
      <c r="CY11" s="20" t="inlineStr">
        <is>
          <t>N/A</t>
        </is>
      </c>
      <c r="CZ11" s="20" t="inlineStr">
        <is>
          <t>Yes</t>
        </is>
      </c>
      <c r="DB11" s="20" t="inlineStr">
        <is>
          <t>N/A</t>
        </is>
      </c>
      <c r="DC11" s="20" t="inlineStr">
        <is>
          <t>N/A</t>
        </is>
      </c>
      <c r="DD11" s="20" t="inlineStr">
        <is>
          <t>N/A</t>
        </is>
      </c>
      <c r="DE11" s="20" t="inlineStr">
        <is>
          <t>N/A</t>
        </is>
      </c>
      <c r="DF11" s="20" t="inlineStr">
        <is>
          <t>Yes</t>
        </is>
      </c>
      <c r="DH11" s="20" t="inlineStr">
        <is>
          <t>No</t>
        </is>
      </c>
      <c r="DI11" s="20" t="inlineStr">
        <is>
          <t>No</t>
        </is>
      </c>
      <c r="DJ11" s="20" t="inlineStr">
        <is>
          <t>No</t>
        </is>
      </c>
      <c r="DK11" s="20" t="inlineStr">
        <is>
          <t>Yes</t>
        </is>
      </c>
      <c r="DL11" s="20" t="inlineStr">
        <is>
          <t>Yes</t>
        </is>
      </c>
      <c r="DM11" s="20" t="inlineStr">
        <is>
          <t>Yes</t>
        </is>
      </c>
      <c r="DN11" s="20" t="inlineStr">
        <is>
          <t>No</t>
        </is>
      </c>
      <c r="DO11" s="20" t="inlineStr">
        <is>
          <t>No</t>
        </is>
      </c>
      <c r="DP11" s="20" t="inlineStr">
        <is>
          <t>No</t>
        </is>
      </c>
      <c r="DR11" s="20" t="inlineStr">
        <is>
          <t>Yes</t>
        </is>
      </c>
      <c r="DS11" s="20" t="inlineStr">
        <is>
          <t>No</t>
        </is>
      </c>
      <c r="DT11" s="20" t="inlineStr">
        <is>
          <t>Yes</t>
        </is>
      </c>
      <c r="DU11" s="20" t="inlineStr">
        <is>
          <t>No</t>
        </is>
      </c>
      <c r="DV11" s="20" t="inlineStr">
        <is>
          <t>No</t>
        </is>
      </c>
      <c r="DW11" s="20" t="inlineStr">
        <is>
          <t>No</t>
        </is>
      </c>
      <c r="DZ11" s="20" t="inlineStr">
        <is>
          <t>No</t>
        </is>
      </c>
      <c r="EA11" s="20" t="inlineStr">
        <is>
          <t>N/A</t>
        </is>
      </c>
      <c r="EB11" s="20" t="inlineStr">
        <is>
          <t>N/A</t>
        </is>
      </c>
      <c r="EC11" s="20" t="inlineStr">
        <is>
          <t>N/A</t>
        </is>
      </c>
      <c r="ED11" s="20" t="inlineStr">
        <is>
          <t>N/A</t>
        </is>
      </c>
      <c r="EE11" s="20" t="inlineStr">
        <is>
          <t>N/A</t>
        </is>
      </c>
      <c r="EG11" s="20" t="inlineStr">
        <is>
          <t>N/A</t>
        </is>
      </c>
      <c r="EH11" s="20" t="inlineStr">
        <is>
          <t>N/A</t>
        </is>
      </c>
      <c r="EI11" s="20" t="inlineStr">
        <is>
          <t>N/A</t>
        </is>
      </c>
      <c r="EJ11" s="20" t="inlineStr">
        <is>
          <t>N/A</t>
        </is>
      </c>
      <c r="EK11" s="20" t="inlineStr">
        <is>
          <t>N/A</t>
        </is>
      </c>
      <c r="EL11" s="20" t="inlineStr">
        <is>
          <t>N/A</t>
        </is>
      </c>
      <c r="EM11" s="20" t="inlineStr">
        <is>
          <t>N/A</t>
        </is>
      </c>
      <c r="EN11" s="20" t="inlineStr">
        <is>
          <t>N/A</t>
        </is>
      </c>
      <c r="EO11" s="20" t="inlineStr">
        <is>
          <t>N/A</t>
        </is>
      </c>
      <c r="EP11" s="20" t="inlineStr">
        <is>
          <t>N/A</t>
        </is>
      </c>
      <c r="EQ11" s="20" t="inlineStr">
        <is>
          <t>N/A</t>
        </is>
      </c>
      <c r="ER11" s="20" t="inlineStr">
        <is>
          <t>N/A</t>
        </is>
      </c>
      <c r="ES11" s="20" t="inlineStr">
        <is>
          <t>N/A</t>
        </is>
      </c>
      <c r="ET11" s="20" t="inlineStr">
        <is>
          <t>N/A</t>
        </is>
      </c>
      <c r="EU11" s="20" t="inlineStr">
        <is>
          <t>N/A</t>
        </is>
      </c>
      <c r="EV11" s="20" t="inlineStr">
        <is>
          <t>N/A</t>
        </is>
      </c>
      <c r="EW11" s="20" t="inlineStr">
        <is>
          <t>N/A</t>
        </is>
      </c>
      <c r="EX11" s="20" t="inlineStr">
        <is>
          <t>N/A</t>
        </is>
      </c>
      <c r="EY11" s="20" t="inlineStr">
        <is>
          <t>N/A</t>
        </is>
      </c>
      <c r="FA11" s="20" t="inlineStr">
        <is>
          <t>N/A</t>
        </is>
      </c>
      <c r="FB11" s="20" t="inlineStr">
        <is>
          <t>N/A</t>
        </is>
      </c>
      <c r="FC11" s="20" t="inlineStr">
        <is>
          <t>N/A</t>
        </is>
      </c>
      <c r="FD11" s="20" t="inlineStr">
        <is>
          <t>N/A</t>
        </is>
      </c>
      <c r="FE11" s="20" t="inlineStr">
        <is>
          <t>N/A</t>
        </is>
      </c>
      <c r="FF11" s="20" t="inlineStr">
        <is>
          <t>N/A</t>
        </is>
      </c>
      <c r="FG11" s="20" t="inlineStr">
        <is>
          <t>N/A</t>
        </is>
      </c>
      <c r="FH11" s="20" t="inlineStr">
        <is>
          <t>N/A</t>
        </is>
      </c>
      <c r="FI11" s="20" t="inlineStr">
        <is>
          <t>N/A</t>
        </is>
      </c>
      <c r="FK11" s="20" t="inlineStr">
        <is>
          <t>N/A</t>
        </is>
      </c>
      <c r="FL11" s="20" t="inlineStr">
        <is>
          <t>N/A</t>
        </is>
      </c>
      <c r="FM11" s="20" t="inlineStr">
        <is>
          <t>N/A</t>
        </is>
      </c>
      <c r="FN11" s="20" t="inlineStr">
        <is>
          <t>N/A</t>
        </is>
      </c>
      <c r="FO11" s="20" t="inlineStr">
        <is>
          <t>N/A</t>
        </is>
      </c>
      <c r="FP11" s="20" t="inlineStr">
        <is>
          <t>N/A</t>
        </is>
      </c>
      <c r="FQ11" s="20" t="inlineStr">
        <is>
          <t>N/A</t>
        </is>
      </c>
      <c r="FS11" s="20" t="inlineStr">
        <is>
          <t>N/A</t>
        </is>
      </c>
      <c r="FT11" s="20" t="inlineStr">
        <is>
          <t>N/A</t>
        </is>
      </c>
      <c r="FU11" s="20" t="inlineStr">
        <is>
          <t>N/A</t>
        </is>
      </c>
      <c r="FV11" s="20" t="inlineStr">
        <is>
          <t>N/A</t>
        </is>
      </c>
      <c r="FW11" s="20" t="inlineStr">
        <is>
          <t>N/A</t>
        </is>
      </c>
      <c r="FX11" s="20" t="inlineStr">
        <is>
          <t>N/A</t>
        </is>
      </c>
      <c r="FY11" s="20" t="inlineStr">
        <is>
          <t>N/A</t>
        </is>
      </c>
      <c r="FZ11" s="20" t="inlineStr">
        <is>
          <t>N/A</t>
        </is>
      </c>
      <c r="GA11" s="20" t="inlineStr">
        <is>
          <t>N/A</t>
        </is>
      </c>
      <c r="GB11" s="20" t="inlineStr">
        <is>
          <t>N/A</t>
        </is>
      </c>
      <c r="GC11" s="20" t="inlineStr">
        <is>
          <t>N/A</t>
        </is>
      </c>
      <c r="GD11" s="20" t="inlineStr">
        <is>
          <t>N/A</t>
        </is>
      </c>
      <c r="GE11" s="20" t="inlineStr">
        <is>
          <t>N/A</t>
        </is>
      </c>
      <c r="GF11" s="20" t="inlineStr">
        <is>
          <t>N/A</t>
        </is>
      </c>
      <c r="GG11" s="20" t="inlineStr">
        <is>
          <t>N/A</t>
        </is>
      </c>
      <c r="GI11" s="20" t="inlineStr">
        <is>
          <t>Well-designed survey. Security and compliance aspects are most critical for IT. The practices/support split made sense from an IT governance perspective. Took about 11 minutes.</t>
        </is>
      </c>
    </row>
    <row r="12" ht="15" customHeight="1" s="21">
      <c r="A12" s="20" t="n">
        <v>11</v>
      </c>
      <c r="B12" s="20" t="n"/>
      <c r="C12" s="20" t="n">
        <v>2</v>
      </c>
      <c r="D12" s="20" t="inlineStr">
        <is>
          <t>en</t>
        </is>
      </c>
      <c r="E12" s="20" t="n">
        <v>1113535850</v>
      </c>
      <c r="F12" s="20" t="inlineStr">
        <is>
          <t>Faculty / Academic staff</t>
        </is>
      </c>
      <c r="H12" s="20" t="inlineStr">
        <is>
          <t>Not important</t>
        </is>
      </c>
      <c r="I12" s="20" t="inlineStr">
        <is>
          <t>N/A</t>
        </is>
      </c>
      <c r="J12" s="20" t="inlineStr">
        <is>
          <t>N/A</t>
        </is>
      </c>
      <c r="K12" s="20" t="inlineStr">
        <is>
          <t>N/A</t>
        </is>
      </c>
      <c r="L12" s="20" t="inlineStr">
        <is>
          <t>N/A</t>
        </is>
      </c>
      <c r="M12" s="20" t="inlineStr">
        <is>
          <t>N/A</t>
        </is>
      </c>
      <c r="N12" s="20" t="inlineStr">
        <is>
          <t>N/A</t>
        </is>
      </c>
      <c r="O12" s="20" t="inlineStr">
        <is>
          <t>N/A</t>
        </is>
      </c>
      <c r="P12" s="20" t="inlineStr">
        <is>
          <t>N/A</t>
        </is>
      </c>
      <c r="R12" s="20" t="n"/>
      <c r="T12" s="20" t="inlineStr">
        <is>
          <t>N/A</t>
        </is>
      </c>
      <c r="U12" s="20" t="inlineStr">
        <is>
          <t>N/A</t>
        </is>
      </c>
      <c r="V12" s="20" t="inlineStr">
        <is>
          <t>N/A</t>
        </is>
      </c>
      <c r="W12" s="20" t="inlineStr">
        <is>
          <t>N/A</t>
        </is>
      </c>
      <c r="X12" s="20" t="inlineStr">
        <is>
          <t>N/A</t>
        </is>
      </c>
      <c r="Y12" s="20" t="n"/>
      <c r="Z12" s="20" t="inlineStr">
        <is>
          <t>N/A</t>
        </is>
      </c>
      <c r="AA12" s="20" t="inlineStr">
        <is>
          <t>N/A</t>
        </is>
      </c>
      <c r="AB12" s="20" t="inlineStr">
        <is>
          <t>N/A</t>
        </is>
      </c>
      <c r="AC12" s="20" t="inlineStr">
        <is>
          <t>N/A</t>
        </is>
      </c>
      <c r="AD12" s="20" t="inlineStr">
        <is>
          <t>N/A</t>
        </is>
      </c>
      <c r="AE12" s="20" t="inlineStr">
        <is>
          <t>N/A</t>
        </is>
      </c>
      <c r="AF12" s="20" t="inlineStr">
        <is>
          <t>N/A</t>
        </is>
      </c>
      <c r="AG12" s="20" t="n"/>
      <c r="AH12" s="20" t="inlineStr">
        <is>
          <t>N/A</t>
        </is>
      </c>
      <c r="AI12" s="20" t="inlineStr">
        <is>
          <t>N/A</t>
        </is>
      </c>
      <c r="AJ12" s="20" t="inlineStr">
        <is>
          <t>N/A</t>
        </is>
      </c>
      <c r="AK12" s="20" t="inlineStr">
        <is>
          <t>N/A</t>
        </is>
      </c>
      <c r="AL12" s="20" t="n"/>
      <c r="AM12" s="20" t="inlineStr">
        <is>
          <t>N/A</t>
        </is>
      </c>
      <c r="AN12" s="20" t="inlineStr">
        <is>
          <t>N/A</t>
        </is>
      </c>
      <c r="AO12" s="20" t="inlineStr">
        <is>
          <t>N/A</t>
        </is>
      </c>
      <c r="AP12" s="20" t="inlineStr">
        <is>
          <t>N/A</t>
        </is>
      </c>
      <c r="AQ12" s="20" t="inlineStr">
        <is>
          <t>N/A</t>
        </is>
      </c>
      <c r="AR12" s="20" t="inlineStr">
        <is>
          <t>N/A</t>
        </is>
      </c>
      <c r="AS12" s="20" t="inlineStr">
        <is>
          <t>N/A</t>
        </is>
      </c>
      <c r="AT12" s="20" t="n"/>
      <c r="AU12" s="20" t="inlineStr">
        <is>
          <t>N/A</t>
        </is>
      </c>
      <c r="AV12" s="20" t="inlineStr">
        <is>
          <t>N/A</t>
        </is>
      </c>
      <c r="AW12" s="20" t="inlineStr">
        <is>
          <t>N/A</t>
        </is>
      </c>
      <c r="AX12" s="20" t="inlineStr">
        <is>
          <t>N/A</t>
        </is>
      </c>
      <c r="AY12" s="20" t="inlineStr">
        <is>
          <t>N/A</t>
        </is>
      </c>
      <c r="AZ12" s="20" t="inlineStr">
        <is>
          <t>N/A</t>
        </is>
      </c>
      <c r="BA12" s="20" t="n"/>
      <c r="BB12" s="20" t="inlineStr">
        <is>
          <t>N/A</t>
        </is>
      </c>
      <c r="BC12" s="20" t="inlineStr">
        <is>
          <t>N/A</t>
        </is>
      </c>
      <c r="BD12" s="20" t="inlineStr">
        <is>
          <t>N/A</t>
        </is>
      </c>
      <c r="BE12" s="20" t="inlineStr">
        <is>
          <t>N/A</t>
        </is>
      </c>
      <c r="BF12" s="20" t="inlineStr">
        <is>
          <t>N/A</t>
        </is>
      </c>
      <c r="BG12" s="20" t="inlineStr">
        <is>
          <t>N/A</t>
        </is>
      </c>
      <c r="BH12" s="20" t="n"/>
      <c r="BI12" s="20" t="inlineStr">
        <is>
          <t>N/A</t>
        </is>
      </c>
      <c r="BJ12" s="20" t="inlineStr">
        <is>
          <t>N/A</t>
        </is>
      </c>
      <c r="BK12" s="20" t="inlineStr">
        <is>
          <t>N/A</t>
        </is>
      </c>
      <c r="BL12" s="20" t="inlineStr">
        <is>
          <t>N/A</t>
        </is>
      </c>
      <c r="BM12" s="20" t="inlineStr">
        <is>
          <t>N/A</t>
        </is>
      </c>
      <c r="BN12" s="20" t="inlineStr">
        <is>
          <t>N/A</t>
        </is>
      </c>
      <c r="BO12" s="20" t="inlineStr">
        <is>
          <t>N/A</t>
        </is>
      </c>
      <c r="BP12" s="20" t="inlineStr">
        <is>
          <t>N/A</t>
        </is>
      </c>
      <c r="BQ12" s="20" t="inlineStr">
        <is>
          <t>N/A</t>
        </is>
      </c>
      <c r="BR12" s="20" t="n"/>
      <c r="BS12" s="20" t="inlineStr">
        <is>
          <t>N/A</t>
        </is>
      </c>
      <c r="BT12" s="20" t="inlineStr">
        <is>
          <t>N/A</t>
        </is>
      </c>
      <c r="BU12" s="20" t="inlineStr">
        <is>
          <t>N/A</t>
        </is>
      </c>
      <c r="BV12" s="20" t="inlineStr">
        <is>
          <t>N/A</t>
        </is>
      </c>
      <c r="BW12" s="20" t="inlineStr">
        <is>
          <t>N/A</t>
        </is>
      </c>
      <c r="BX12" s="20" t="inlineStr">
        <is>
          <t>N/A</t>
        </is>
      </c>
      <c r="BY12" s="20" t="inlineStr">
        <is>
          <t>N/A</t>
        </is>
      </c>
      <c r="BZ12" s="20" t="inlineStr">
        <is>
          <t>N/A</t>
        </is>
      </c>
      <c r="CA12" s="20" t="n"/>
      <c r="CC12" s="20" t="inlineStr">
        <is>
          <t>N/A</t>
        </is>
      </c>
      <c r="CD12" s="20" t="inlineStr">
        <is>
          <t>N/A</t>
        </is>
      </c>
      <c r="CE12" s="20" t="inlineStr">
        <is>
          <t>N/A</t>
        </is>
      </c>
      <c r="CF12" s="20" t="inlineStr">
        <is>
          <t>N/A</t>
        </is>
      </c>
      <c r="CG12" s="20" t="inlineStr">
        <is>
          <t>N/A</t>
        </is>
      </c>
      <c r="CH12" s="20" t="inlineStr">
        <is>
          <t>N/A</t>
        </is>
      </c>
      <c r="CI12" s="20" t="inlineStr">
        <is>
          <t>N/A</t>
        </is>
      </c>
      <c r="CJ12" s="20" t="n"/>
      <c r="CK12" s="20" t="inlineStr">
        <is>
          <t>N/A</t>
        </is>
      </c>
      <c r="CL12" s="20" t="inlineStr">
        <is>
          <t>N/A</t>
        </is>
      </c>
      <c r="CM12" s="20" t="inlineStr">
        <is>
          <t>N/A</t>
        </is>
      </c>
      <c r="CN12" s="20" t="inlineStr">
        <is>
          <t>N/A</t>
        </is>
      </c>
      <c r="CO12" s="20" t="n"/>
      <c r="CP12" s="20" t="inlineStr">
        <is>
          <t>N/A</t>
        </is>
      </c>
      <c r="CQ12" s="20" t="inlineStr">
        <is>
          <t>N/A</t>
        </is>
      </c>
      <c r="CR12" s="20" t="inlineStr">
        <is>
          <t>N/A</t>
        </is>
      </c>
      <c r="CS12" s="20" t="inlineStr">
        <is>
          <t>N/A</t>
        </is>
      </c>
      <c r="CT12" s="20" t="inlineStr">
        <is>
          <t>N/A</t>
        </is>
      </c>
      <c r="CU12" s="20" t="n"/>
      <c r="CV12" s="20" t="inlineStr">
        <is>
          <t>N/A</t>
        </is>
      </c>
      <c r="CW12" s="20" t="inlineStr">
        <is>
          <t>N/A</t>
        </is>
      </c>
      <c r="CX12" s="20" t="inlineStr">
        <is>
          <t>N/A</t>
        </is>
      </c>
      <c r="CY12" s="20" t="inlineStr">
        <is>
          <t>N/A</t>
        </is>
      </c>
      <c r="CZ12" s="20" t="inlineStr">
        <is>
          <t>N/A</t>
        </is>
      </c>
      <c r="DA12" s="20" t="n"/>
      <c r="DB12" s="20" t="inlineStr">
        <is>
          <t>N/A</t>
        </is>
      </c>
      <c r="DC12" s="20" t="inlineStr">
        <is>
          <t>N/A</t>
        </is>
      </c>
      <c r="DD12" s="20" t="inlineStr">
        <is>
          <t>N/A</t>
        </is>
      </c>
      <c r="DE12" s="20" t="inlineStr">
        <is>
          <t>N/A</t>
        </is>
      </c>
      <c r="DF12" s="20" t="inlineStr">
        <is>
          <t>N/A</t>
        </is>
      </c>
      <c r="DG12" s="20" t="n"/>
      <c r="DH12" s="20" t="inlineStr">
        <is>
          <t>N/A</t>
        </is>
      </c>
      <c r="DI12" s="20" t="inlineStr">
        <is>
          <t>N/A</t>
        </is>
      </c>
      <c r="DJ12" s="20" t="inlineStr">
        <is>
          <t>N/A</t>
        </is>
      </c>
      <c r="DK12" s="20" t="inlineStr">
        <is>
          <t>N/A</t>
        </is>
      </c>
      <c r="DL12" s="20" t="inlineStr">
        <is>
          <t>N/A</t>
        </is>
      </c>
      <c r="DM12" s="20" t="inlineStr">
        <is>
          <t>N/A</t>
        </is>
      </c>
      <c r="DN12" s="20" t="inlineStr">
        <is>
          <t>N/A</t>
        </is>
      </c>
      <c r="DO12" s="20" t="inlineStr">
        <is>
          <t>N/A</t>
        </is>
      </c>
      <c r="DP12" s="20" t="inlineStr">
        <is>
          <t>N/A</t>
        </is>
      </c>
      <c r="DQ12" s="20" t="n"/>
      <c r="DR12" s="20" t="inlineStr">
        <is>
          <t>N/A</t>
        </is>
      </c>
      <c r="DS12" s="20" t="inlineStr">
        <is>
          <t>N/A</t>
        </is>
      </c>
      <c r="DT12" s="20" t="inlineStr">
        <is>
          <t>N/A</t>
        </is>
      </c>
      <c r="DU12" s="20" t="inlineStr">
        <is>
          <t>N/A</t>
        </is>
      </c>
      <c r="DV12" s="20" t="inlineStr">
        <is>
          <t>N/A</t>
        </is>
      </c>
      <c r="DW12" s="20" t="inlineStr">
        <is>
          <t>N/A</t>
        </is>
      </c>
      <c r="DX12" s="20" t="n"/>
      <c r="DZ12" s="20" t="inlineStr">
        <is>
          <t>N/A</t>
        </is>
      </c>
      <c r="EA12" s="20" t="inlineStr">
        <is>
          <t>N/A</t>
        </is>
      </c>
      <c r="EB12" s="20" t="inlineStr">
        <is>
          <t>N/A</t>
        </is>
      </c>
      <c r="EC12" s="20" t="inlineStr">
        <is>
          <t>N/A</t>
        </is>
      </c>
      <c r="ED12" s="20" t="inlineStr">
        <is>
          <t>N/A</t>
        </is>
      </c>
      <c r="EE12" s="20" t="inlineStr">
        <is>
          <t>N/A</t>
        </is>
      </c>
      <c r="EG12" s="20" t="inlineStr">
        <is>
          <t>N/A</t>
        </is>
      </c>
      <c r="EH12" s="20" t="inlineStr">
        <is>
          <t>N/A</t>
        </is>
      </c>
      <c r="EI12" s="20" t="inlineStr">
        <is>
          <t>N/A</t>
        </is>
      </c>
      <c r="EJ12" s="20" t="inlineStr">
        <is>
          <t>N/A</t>
        </is>
      </c>
      <c r="EK12" s="20" t="inlineStr">
        <is>
          <t>N/A</t>
        </is>
      </c>
      <c r="EL12" s="20" t="inlineStr">
        <is>
          <t>N/A</t>
        </is>
      </c>
      <c r="EM12" s="20" t="inlineStr">
        <is>
          <t>N/A</t>
        </is>
      </c>
      <c r="EN12" s="20" t="inlineStr">
        <is>
          <t>N/A</t>
        </is>
      </c>
      <c r="EO12" s="20" t="inlineStr">
        <is>
          <t>N/A</t>
        </is>
      </c>
      <c r="EP12" s="20" t="inlineStr">
        <is>
          <t>N/A</t>
        </is>
      </c>
      <c r="EQ12" s="20" t="inlineStr">
        <is>
          <t>N/A</t>
        </is>
      </c>
      <c r="ER12" s="20" t="inlineStr">
        <is>
          <t>N/A</t>
        </is>
      </c>
      <c r="ES12" s="20" t="inlineStr">
        <is>
          <t>N/A</t>
        </is>
      </c>
      <c r="ET12" s="20" t="inlineStr">
        <is>
          <t>N/A</t>
        </is>
      </c>
      <c r="EU12" s="20" t="inlineStr">
        <is>
          <t>N/A</t>
        </is>
      </c>
      <c r="EV12" s="20" t="inlineStr">
        <is>
          <t>N/A</t>
        </is>
      </c>
      <c r="EW12" s="20" t="inlineStr">
        <is>
          <t>N/A</t>
        </is>
      </c>
      <c r="EX12" s="20" t="inlineStr">
        <is>
          <t>N/A</t>
        </is>
      </c>
      <c r="EY12" s="20" t="inlineStr">
        <is>
          <t>N/A</t>
        </is>
      </c>
      <c r="FA12" s="20" t="inlineStr">
        <is>
          <t>N/A</t>
        </is>
      </c>
      <c r="FB12" s="20" t="inlineStr">
        <is>
          <t>N/A</t>
        </is>
      </c>
      <c r="FC12" s="20" t="inlineStr">
        <is>
          <t>N/A</t>
        </is>
      </c>
      <c r="FD12" s="20" t="inlineStr">
        <is>
          <t>N/A</t>
        </is>
      </c>
      <c r="FE12" s="20" t="inlineStr">
        <is>
          <t>N/A</t>
        </is>
      </c>
      <c r="FF12" s="20" t="inlineStr">
        <is>
          <t>N/A</t>
        </is>
      </c>
      <c r="FG12" s="20" t="inlineStr">
        <is>
          <t>N/A</t>
        </is>
      </c>
      <c r="FH12" s="20" t="inlineStr">
        <is>
          <t>N/A</t>
        </is>
      </c>
      <c r="FI12" s="20" t="inlineStr">
        <is>
          <t>N/A</t>
        </is>
      </c>
      <c r="FK12" s="20" t="inlineStr">
        <is>
          <t>N/A</t>
        </is>
      </c>
      <c r="FL12" s="20" t="inlineStr">
        <is>
          <t>N/A</t>
        </is>
      </c>
      <c r="FM12" s="20" t="inlineStr">
        <is>
          <t>N/A</t>
        </is>
      </c>
      <c r="FN12" s="20" t="inlineStr">
        <is>
          <t>N/A</t>
        </is>
      </c>
      <c r="FO12" s="20" t="inlineStr">
        <is>
          <t>N/A</t>
        </is>
      </c>
      <c r="FP12" s="20" t="inlineStr">
        <is>
          <t>N/A</t>
        </is>
      </c>
      <c r="FQ12" s="20" t="inlineStr">
        <is>
          <t>N/A</t>
        </is>
      </c>
      <c r="FS12" s="20" t="inlineStr">
        <is>
          <t>N/A</t>
        </is>
      </c>
      <c r="FT12" s="20" t="inlineStr">
        <is>
          <t>N/A</t>
        </is>
      </c>
      <c r="FU12" s="20" t="inlineStr">
        <is>
          <t>N/A</t>
        </is>
      </c>
      <c r="FV12" s="20" t="inlineStr">
        <is>
          <t>N/A</t>
        </is>
      </c>
      <c r="FW12" s="20" t="inlineStr">
        <is>
          <t>N/A</t>
        </is>
      </c>
      <c r="FX12" s="20" t="inlineStr">
        <is>
          <t>N/A</t>
        </is>
      </c>
      <c r="FY12" s="20" t="inlineStr">
        <is>
          <t>N/A</t>
        </is>
      </c>
      <c r="FZ12" s="20" t="inlineStr">
        <is>
          <t>N/A</t>
        </is>
      </c>
      <c r="GA12" s="20" t="inlineStr">
        <is>
          <t>N/A</t>
        </is>
      </c>
      <c r="GB12" s="20" t="inlineStr">
        <is>
          <t>N/A</t>
        </is>
      </c>
      <c r="GC12" s="20" t="inlineStr">
        <is>
          <t>N/A</t>
        </is>
      </c>
      <c r="GD12" s="20" t="inlineStr">
        <is>
          <t>N/A</t>
        </is>
      </c>
      <c r="GE12" s="20" t="inlineStr">
        <is>
          <t>N/A</t>
        </is>
      </c>
      <c r="GF12" s="20" t="inlineStr">
        <is>
          <t>N/A</t>
        </is>
      </c>
      <c r="GG12" s="20" t="inlineStr">
        <is>
          <t>N/A</t>
        </is>
      </c>
      <c r="GI12" s="20" t="n"/>
    </row>
    <row r="13" ht="15" customHeight="1" s="21">
      <c r="A13" s="20" t="n">
        <v>12</v>
      </c>
      <c r="C13" s="20" t="n">
        <v>2</v>
      </c>
      <c r="D13" s="20" t="inlineStr">
        <is>
          <t>en</t>
        </is>
      </c>
      <c r="E13" s="20" t="n">
        <v>846659208</v>
      </c>
      <c r="F13" s="20" t="inlineStr">
        <is>
          <t>Student (graduate or undergraduate)</t>
        </is>
      </c>
      <c r="H13" s="20" t="inlineStr">
        <is>
          <t>Important</t>
        </is>
      </c>
      <c r="I13" s="20" t="inlineStr">
        <is>
          <t>No</t>
        </is>
      </c>
      <c r="J13" s="20" t="inlineStr">
        <is>
          <t>No</t>
        </is>
      </c>
      <c r="K13" s="20" t="inlineStr">
        <is>
          <t>Yes</t>
        </is>
      </c>
      <c r="L13" s="20" t="inlineStr">
        <is>
          <t>No</t>
        </is>
      </c>
      <c r="M13" s="20" t="inlineStr">
        <is>
          <t>No</t>
        </is>
      </c>
      <c r="N13" s="20" t="inlineStr">
        <is>
          <t>Yes</t>
        </is>
      </c>
      <c r="O13" s="20" t="inlineStr">
        <is>
          <t>No</t>
        </is>
      </c>
      <c r="P13" s="20" t="inlineStr">
        <is>
          <t>No</t>
        </is>
      </c>
      <c r="T13" s="20" t="inlineStr">
        <is>
          <t>N/A</t>
        </is>
      </c>
      <c r="U13" s="20" t="inlineStr">
        <is>
          <t>N/A</t>
        </is>
      </c>
      <c r="V13" s="20" t="inlineStr">
        <is>
          <t>N/A</t>
        </is>
      </c>
      <c r="W13" s="20" t="inlineStr">
        <is>
          <t>N/A</t>
        </is>
      </c>
      <c r="X13" s="20" t="inlineStr">
        <is>
          <t>N/A</t>
        </is>
      </c>
      <c r="Z13" s="20" t="inlineStr">
        <is>
          <t>N/A</t>
        </is>
      </c>
      <c r="AA13" s="20" t="inlineStr">
        <is>
          <t>N/A</t>
        </is>
      </c>
      <c r="AB13" s="20" t="inlineStr">
        <is>
          <t>N/A</t>
        </is>
      </c>
      <c r="AC13" s="20" t="inlineStr">
        <is>
          <t>N/A</t>
        </is>
      </c>
      <c r="AD13" s="20" t="inlineStr">
        <is>
          <t>N/A</t>
        </is>
      </c>
      <c r="AE13" s="20" t="inlineStr">
        <is>
          <t>N/A</t>
        </is>
      </c>
      <c r="AF13" s="20" t="inlineStr">
        <is>
          <t>N/A</t>
        </is>
      </c>
      <c r="AH13" s="20" t="inlineStr">
        <is>
          <t>N/A</t>
        </is>
      </c>
      <c r="AI13" s="20" t="inlineStr">
        <is>
          <t>N/A</t>
        </is>
      </c>
      <c r="AJ13" s="20" t="inlineStr">
        <is>
          <t>N/A</t>
        </is>
      </c>
      <c r="AK13" s="20" t="inlineStr">
        <is>
          <t>N/A</t>
        </is>
      </c>
      <c r="AM13" s="20" t="inlineStr">
        <is>
          <t>N/A</t>
        </is>
      </c>
      <c r="AN13" s="20" t="inlineStr">
        <is>
          <t>N/A</t>
        </is>
      </c>
      <c r="AO13" s="20" t="inlineStr">
        <is>
          <t>N/A</t>
        </is>
      </c>
      <c r="AP13" s="20" t="inlineStr">
        <is>
          <t>N/A</t>
        </is>
      </c>
      <c r="AQ13" s="20" t="inlineStr">
        <is>
          <t>N/A</t>
        </is>
      </c>
      <c r="AR13" s="20" t="inlineStr">
        <is>
          <t>N/A</t>
        </is>
      </c>
      <c r="AS13" s="20" t="inlineStr">
        <is>
          <t>N/A</t>
        </is>
      </c>
      <c r="AU13" s="20" t="inlineStr">
        <is>
          <t>N/A</t>
        </is>
      </c>
      <c r="AV13" s="20" t="inlineStr">
        <is>
          <t>N/A</t>
        </is>
      </c>
      <c r="AW13" s="20" t="inlineStr">
        <is>
          <t>N/A</t>
        </is>
      </c>
      <c r="AX13" s="20" t="inlineStr">
        <is>
          <t>N/A</t>
        </is>
      </c>
      <c r="AY13" s="20" t="inlineStr">
        <is>
          <t>N/A</t>
        </is>
      </c>
      <c r="AZ13" s="20" t="inlineStr">
        <is>
          <t>N/A</t>
        </is>
      </c>
      <c r="BB13" s="20" t="inlineStr">
        <is>
          <t>N/A</t>
        </is>
      </c>
      <c r="BC13" s="20" t="inlineStr">
        <is>
          <t>N/A</t>
        </is>
      </c>
      <c r="BD13" s="20" t="inlineStr">
        <is>
          <t>N/A</t>
        </is>
      </c>
      <c r="BE13" s="20" t="inlineStr">
        <is>
          <t>N/A</t>
        </is>
      </c>
      <c r="BF13" s="20" t="inlineStr">
        <is>
          <t>N/A</t>
        </is>
      </c>
      <c r="BG13" s="20" t="inlineStr">
        <is>
          <t>N/A</t>
        </is>
      </c>
      <c r="BI13" s="20" t="inlineStr">
        <is>
          <t>N/A</t>
        </is>
      </c>
      <c r="BJ13" s="20" t="inlineStr">
        <is>
          <t>N/A</t>
        </is>
      </c>
      <c r="BK13" s="20" t="inlineStr">
        <is>
          <t>N/A</t>
        </is>
      </c>
      <c r="BL13" s="20" t="inlineStr">
        <is>
          <t>N/A</t>
        </is>
      </c>
      <c r="BM13" s="20" t="inlineStr">
        <is>
          <t>N/A</t>
        </is>
      </c>
      <c r="BN13" s="20" t="inlineStr">
        <is>
          <t>N/A</t>
        </is>
      </c>
      <c r="BO13" s="20" t="inlineStr">
        <is>
          <t>N/A</t>
        </is>
      </c>
      <c r="BP13" s="20" t="inlineStr">
        <is>
          <t>N/A</t>
        </is>
      </c>
      <c r="BQ13" s="20" t="inlineStr">
        <is>
          <t>N/A</t>
        </is>
      </c>
      <c r="BS13" s="20" t="inlineStr">
        <is>
          <t>N/A</t>
        </is>
      </c>
      <c r="BT13" s="20" t="inlineStr">
        <is>
          <t>N/A</t>
        </is>
      </c>
      <c r="BU13" s="20" t="inlineStr">
        <is>
          <t>N/A</t>
        </is>
      </c>
      <c r="BV13" s="20" t="inlineStr">
        <is>
          <t>N/A</t>
        </is>
      </c>
      <c r="BW13" s="20" t="inlineStr">
        <is>
          <t>N/A</t>
        </is>
      </c>
      <c r="BX13" s="20" t="inlineStr">
        <is>
          <t>N/A</t>
        </is>
      </c>
      <c r="BY13" s="20" t="inlineStr">
        <is>
          <t>N/A</t>
        </is>
      </c>
      <c r="BZ13" s="20" t="inlineStr">
        <is>
          <t>N/A</t>
        </is>
      </c>
      <c r="CC13" s="20" t="inlineStr">
        <is>
          <t>N/A</t>
        </is>
      </c>
      <c r="CD13" s="20" t="inlineStr">
        <is>
          <t>N/A</t>
        </is>
      </c>
      <c r="CE13" s="20" t="inlineStr">
        <is>
          <t>N/A</t>
        </is>
      </c>
      <c r="CF13" s="20" t="inlineStr">
        <is>
          <t>N/A</t>
        </is>
      </c>
      <c r="CG13" s="20" t="inlineStr">
        <is>
          <t>N/A</t>
        </is>
      </c>
      <c r="CH13" s="20" t="inlineStr">
        <is>
          <t>N/A</t>
        </is>
      </c>
      <c r="CI13" s="20" t="inlineStr">
        <is>
          <t>N/A</t>
        </is>
      </c>
      <c r="CK13" s="20" t="inlineStr">
        <is>
          <t>N/A</t>
        </is>
      </c>
      <c r="CL13" s="20" t="inlineStr">
        <is>
          <t>N/A</t>
        </is>
      </c>
      <c r="CM13" s="20" t="inlineStr">
        <is>
          <t>N/A</t>
        </is>
      </c>
      <c r="CN13" s="20" t="inlineStr">
        <is>
          <t>N/A</t>
        </is>
      </c>
      <c r="CP13" s="20" t="inlineStr">
        <is>
          <t>N/A</t>
        </is>
      </c>
      <c r="CQ13" s="20" t="inlineStr">
        <is>
          <t>N/A</t>
        </is>
      </c>
      <c r="CR13" s="20" t="inlineStr">
        <is>
          <t>N/A</t>
        </is>
      </c>
      <c r="CS13" s="20" t="inlineStr">
        <is>
          <t>N/A</t>
        </is>
      </c>
      <c r="CT13" s="20" t="inlineStr">
        <is>
          <t>N/A</t>
        </is>
      </c>
      <c r="CV13" s="20" t="inlineStr">
        <is>
          <t>N/A</t>
        </is>
      </c>
      <c r="CW13" s="20" t="inlineStr">
        <is>
          <t>N/A</t>
        </is>
      </c>
      <c r="CX13" s="20" t="inlineStr">
        <is>
          <t>N/A</t>
        </is>
      </c>
      <c r="CY13" s="20" t="inlineStr">
        <is>
          <t>N/A</t>
        </is>
      </c>
      <c r="CZ13" s="20" t="inlineStr">
        <is>
          <t>N/A</t>
        </is>
      </c>
      <c r="DB13" s="20" t="inlineStr">
        <is>
          <t>N/A</t>
        </is>
      </c>
      <c r="DC13" s="20" t="inlineStr">
        <is>
          <t>N/A</t>
        </is>
      </c>
      <c r="DD13" s="20" t="inlineStr">
        <is>
          <t>N/A</t>
        </is>
      </c>
      <c r="DE13" s="20" t="inlineStr">
        <is>
          <t>N/A</t>
        </is>
      </c>
      <c r="DF13" s="20" t="inlineStr">
        <is>
          <t>N/A</t>
        </is>
      </c>
      <c r="DH13" s="20" t="inlineStr">
        <is>
          <t>N/A</t>
        </is>
      </c>
      <c r="DI13" s="20" t="inlineStr">
        <is>
          <t>N/A</t>
        </is>
      </c>
      <c r="DJ13" s="20" t="inlineStr">
        <is>
          <t>N/A</t>
        </is>
      </c>
      <c r="DK13" s="20" t="inlineStr">
        <is>
          <t>N/A</t>
        </is>
      </c>
      <c r="DL13" s="20" t="inlineStr">
        <is>
          <t>N/A</t>
        </is>
      </c>
      <c r="DM13" s="20" t="inlineStr">
        <is>
          <t>N/A</t>
        </is>
      </c>
      <c r="DN13" s="20" t="inlineStr">
        <is>
          <t>N/A</t>
        </is>
      </c>
      <c r="DO13" s="20" t="inlineStr">
        <is>
          <t>N/A</t>
        </is>
      </c>
      <c r="DP13" s="20" t="inlineStr">
        <is>
          <t>N/A</t>
        </is>
      </c>
      <c r="DR13" s="20" t="inlineStr">
        <is>
          <t>N/A</t>
        </is>
      </c>
      <c r="DS13" s="20" t="inlineStr">
        <is>
          <t>N/A</t>
        </is>
      </c>
      <c r="DT13" s="20" t="inlineStr">
        <is>
          <t>N/A</t>
        </is>
      </c>
      <c r="DU13" s="20" t="inlineStr">
        <is>
          <t>N/A</t>
        </is>
      </c>
      <c r="DV13" s="20" t="inlineStr">
        <is>
          <t>N/A</t>
        </is>
      </c>
      <c r="DW13" s="20" t="inlineStr">
        <is>
          <t>N/A</t>
        </is>
      </c>
      <c r="DZ13" s="20" t="inlineStr">
        <is>
          <t>N/A</t>
        </is>
      </c>
      <c r="EA13" s="20" t="inlineStr">
        <is>
          <t>N/A</t>
        </is>
      </c>
      <c r="EB13" s="20" t="inlineStr">
        <is>
          <t>N/A</t>
        </is>
      </c>
      <c r="EC13" s="20" t="inlineStr">
        <is>
          <t>N/A</t>
        </is>
      </c>
      <c r="ED13" s="20" t="inlineStr">
        <is>
          <t>N/A</t>
        </is>
      </c>
      <c r="EE13" s="20" t="inlineStr">
        <is>
          <t>N/A</t>
        </is>
      </c>
      <c r="EG13" s="20" t="inlineStr">
        <is>
          <t>N/A</t>
        </is>
      </c>
      <c r="EH13" s="20" t="inlineStr">
        <is>
          <t>N/A</t>
        </is>
      </c>
      <c r="EI13" s="20" t="inlineStr">
        <is>
          <t>N/A</t>
        </is>
      </c>
      <c r="EJ13" s="20" t="inlineStr">
        <is>
          <t>N/A</t>
        </is>
      </c>
      <c r="EK13" s="20" t="inlineStr">
        <is>
          <t>N/A</t>
        </is>
      </c>
      <c r="EL13" s="20" t="inlineStr">
        <is>
          <t>N/A</t>
        </is>
      </c>
      <c r="EM13" s="20" t="inlineStr">
        <is>
          <t>N/A</t>
        </is>
      </c>
      <c r="EN13" s="20" t="inlineStr">
        <is>
          <t>N/A</t>
        </is>
      </c>
      <c r="EO13" s="20" t="inlineStr">
        <is>
          <t>N/A</t>
        </is>
      </c>
      <c r="EP13" s="20" t="inlineStr">
        <is>
          <t>N/A</t>
        </is>
      </c>
      <c r="EQ13" s="20" t="inlineStr">
        <is>
          <t>N/A</t>
        </is>
      </c>
      <c r="ER13" s="20" t="inlineStr">
        <is>
          <t>N/A</t>
        </is>
      </c>
      <c r="ES13" s="20" t="inlineStr">
        <is>
          <t>N/A</t>
        </is>
      </c>
      <c r="ET13" s="20" t="inlineStr">
        <is>
          <t>N/A</t>
        </is>
      </c>
      <c r="EU13" s="20" t="inlineStr">
        <is>
          <t>N/A</t>
        </is>
      </c>
      <c r="EV13" s="20" t="inlineStr">
        <is>
          <t>N/A</t>
        </is>
      </c>
      <c r="EW13" s="20" t="inlineStr">
        <is>
          <t>N/A</t>
        </is>
      </c>
      <c r="EX13" s="20" t="inlineStr">
        <is>
          <t>N/A</t>
        </is>
      </c>
      <c r="EY13" s="20" t="inlineStr">
        <is>
          <t>N/A</t>
        </is>
      </c>
      <c r="FA13" s="20" t="inlineStr">
        <is>
          <t>N/A</t>
        </is>
      </c>
      <c r="FB13" s="20" t="inlineStr">
        <is>
          <t>N/A</t>
        </is>
      </c>
      <c r="FC13" s="20" t="inlineStr">
        <is>
          <t>N/A</t>
        </is>
      </c>
      <c r="FD13" s="20" t="inlineStr">
        <is>
          <t>N/A</t>
        </is>
      </c>
      <c r="FE13" s="20" t="inlineStr">
        <is>
          <t>N/A</t>
        </is>
      </c>
      <c r="FF13" s="20" t="inlineStr">
        <is>
          <t>N/A</t>
        </is>
      </c>
      <c r="FG13" s="20" t="inlineStr">
        <is>
          <t>N/A</t>
        </is>
      </c>
      <c r="FH13" s="20" t="inlineStr">
        <is>
          <t>N/A</t>
        </is>
      </c>
      <c r="FI13" s="20" t="inlineStr">
        <is>
          <t>N/A</t>
        </is>
      </c>
      <c r="FK13" s="20" t="inlineStr">
        <is>
          <t>N/A</t>
        </is>
      </c>
      <c r="FL13" s="20" t="inlineStr">
        <is>
          <t>N/A</t>
        </is>
      </c>
      <c r="FM13" s="20" t="inlineStr">
        <is>
          <t>N/A</t>
        </is>
      </c>
      <c r="FN13" s="20" t="inlineStr">
        <is>
          <t>N/A</t>
        </is>
      </c>
      <c r="FO13" s="20" t="inlineStr">
        <is>
          <t>N/A</t>
        </is>
      </c>
      <c r="FP13" s="20" t="inlineStr">
        <is>
          <t>N/A</t>
        </is>
      </c>
      <c r="FQ13" s="20" t="inlineStr">
        <is>
          <t>N/A</t>
        </is>
      </c>
      <c r="FS13" s="20" t="inlineStr">
        <is>
          <t>N/A</t>
        </is>
      </c>
      <c r="FT13" s="20" t="inlineStr">
        <is>
          <t>N/A</t>
        </is>
      </c>
      <c r="FU13" s="20" t="inlineStr">
        <is>
          <t>N/A</t>
        </is>
      </c>
      <c r="FV13" s="20" t="inlineStr">
        <is>
          <t>N/A</t>
        </is>
      </c>
      <c r="FW13" s="20" t="inlineStr">
        <is>
          <t>N/A</t>
        </is>
      </c>
      <c r="FX13" s="20" t="inlineStr">
        <is>
          <t>N/A</t>
        </is>
      </c>
      <c r="FY13" s="20" t="inlineStr">
        <is>
          <t>N/A</t>
        </is>
      </c>
      <c r="FZ13" s="20" t="inlineStr">
        <is>
          <t>N/A</t>
        </is>
      </c>
      <c r="GA13" s="20" t="inlineStr">
        <is>
          <t>N/A</t>
        </is>
      </c>
      <c r="GB13" s="20" t="inlineStr">
        <is>
          <t>N/A</t>
        </is>
      </c>
      <c r="GC13" s="20" t="inlineStr">
        <is>
          <t>N/A</t>
        </is>
      </c>
      <c r="GD13" s="20" t="inlineStr">
        <is>
          <t>N/A</t>
        </is>
      </c>
      <c r="GE13" s="20" t="inlineStr">
        <is>
          <t>N/A</t>
        </is>
      </c>
      <c r="GF13" s="20" t="inlineStr">
        <is>
          <t>N/A</t>
        </is>
      </c>
      <c r="GG13" s="20" t="inlineStr">
        <is>
          <t>N/A</t>
        </is>
      </c>
    </row>
    <row r="14" ht="15" customHeight="1" s="21">
      <c r="A14" s="20" t="n">
        <v>13</v>
      </c>
      <c r="C14" s="20" t="n">
        <v>2</v>
      </c>
      <c r="D14" s="20" t="inlineStr">
        <is>
          <t>en</t>
        </is>
      </c>
      <c r="E14" s="20" t="n">
        <v>559955886</v>
      </c>
      <c r="F14" s="20" t="inlineStr">
        <is>
          <t>Leadership / Administration</t>
        </is>
      </c>
      <c r="H14" s="20" t="inlineStr">
        <is>
          <t>Somewhat important</t>
        </is>
      </c>
      <c r="I14" s="20" t="inlineStr">
        <is>
          <t>No</t>
        </is>
      </c>
      <c r="J14" s="20" t="inlineStr">
        <is>
          <t>Yes</t>
        </is>
      </c>
      <c r="K14" s="20" t="inlineStr">
        <is>
          <t>No</t>
        </is>
      </c>
      <c r="L14" s="20" t="inlineStr">
        <is>
          <t>No</t>
        </is>
      </c>
      <c r="M14" s="20" t="inlineStr">
        <is>
          <t>No</t>
        </is>
      </c>
      <c r="N14" s="20" t="inlineStr">
        <is>
          <t>No</t>
        </is>
      </c>
      <c r="O14" s="20" t="inlineStr">
        <is>
          <t>No</t>
        </is>
      </c>
      <c r="P14" s="20" t="inlineStr">
        <is>
          <t>No</t>
        </is>
      </c>
      <c r="T14" s="20" t="inlineStr">
        <is>
          <t>N/A</t>
        </is>
      </c>
      <c r="U14" s="20" t="inlineStr">
        <is>
          <t>N/A</t>
        </is>
      </c>
      <c r="V14" s="20" t="inlineStr">
        <is>
          <t>N/A</t>
        </is>
      </c>
      <c r="W14" s="20" t="inlineStr">
        <is>
          <t>N/A</t>
        </is>
      </c>
      <c r="X14" s="20" t="inlineStr">
        <is>
          <t>N/A</t>
        </is>
      </c>
      <c r="Z14" s="20" t="inlineStr">
        <is>
          <t>N/A</t>
        </is>
      </c>
      <c r="AA14" s="20" t="inlineStr">
        <is>
          <t>N/A</t>
        </is>
      </c>
      <c r="AB14" s="20" t="inlineStr">
        <is>
          <t>N/A</t>
        </is>
      </c>
      <c r="AC14" s="20" t="inlineStr">
        <is>
          <t>N/A</t>
        </is>
      </c>
      <c r="AD14" s="20" t="inlineStr">
        <is>
          <t>N/A</t>
        </is>
      </c>
      <c r="AE14" s="20" t="inlineStr">
        <is>
          <t>N/A</t>
        </is>
      </c>
      <c r="AF14" s="20" t="inlineStr">
        <is>
          <t>N/A</t>
        </is>
      </c>
      <c r="AH14" s="20" t="inlineStr">
        <is>
          <t>N/A</t>
        </is>
      </c>
      <c r="AI14" s="20" t="inlineStr">
        <is>
          <t>N/A</t>
        </is>
      </c>
      <c r="AJ14" s="20" t="inlineStr">
        <is>
          <t>N/A</t>
        </is>
      </c>
      <c r="AK14" s="20" t="inlineStr">
        <is>
          <t>N/A</t>
        </is>
      </c>
      <c r="AM14" s="20" t="inlineStr">
        <is>
          <t>N/A</t>
        </is>
      </c>
      <c r="AN14" s="20" t="inlineStr">
        <is>
          <t>N/A</t>
        </is>
      </c>
      <c r="AO14" s="20" t="inlineStr">
        <is>
          <t>N/A</t>
        </is>
      </c>
      <c r="AP14" s="20" t="inlineStr">
        <is>
          <t>N/A</t>
        </is>
      </c>
      <c r="AQ14" s="20" t="inlineStr">
        <is>
          <t>N/A</t>
        </is>
      </c>
      <c r="AR14" s="20" t="inlineStr">
        <is>
          <t>N/A</t>
        </is>
      </c>
      <c r="AS14" s="20" t="inlineStr">
        <is>
          <t>N/A</t>
        </is>
      </c>
      <c r="AU14" s="20" t="inlineStr">
        <is>
          <t>N/A</t>
        </is>
      </c>
      <c r="AV14" s="20" t="inlineStr">
        <is>
          <t>N/A</t>
        </is>
      </c>
      <c r="AW14" s="20" t="inlineStr">
        <is>
          <t>N/A</t>
        </is>
      </c>
      <c r="AX14" s="20" t="inlineStr">
        <is>
          <t>N/A</t>
        </is>
      </c>
      <c r="AY14" s="20" t="inlineStr">
        <is>
          <t>N/A</t>
        </is>
      </c>
      <c r="AZ14" s="20" t="inlineStr">
        <is>
          <t>N/A</t>
        </is>
      </c>
      <c r="BB14" s="20" t="inlineStr">
        <is>
          <t>N/A</t>
        </is>
      </c>
      <c r="BC14" s="20" t="inlineStr">
        <is>
          <t>N/A</t>
        </is>
      </c>
      <c r="BD14" s="20" t="inlineStr">
        <is>
          <t>N/A</t>
        </is>
      </c>
      <c r="BE14" s="20" t="inlineStr">
        <is>
          <t>N/A</t>
        </is>
      </c>
      <c r="BF14" s="20" t="inlineStr">
        <is>
          <t>N/A</t>
        </is>
      </c>
      <c r="BG14" s="20" t="inlineStr">
        <is>
          <t>N/A</t>
        </is>
      </c>
      <c r="BI14" s="20" t="inlineStr">
        <is>
          <t>N/A</t>
        </is>
      </c>
      <c r="BJ14" s="20" t="inlineStr">
        <is>
          <t>N/A</t>
        </is>
      </c>
      <c r="BK14" s="20" t="inlineStr">
        <is>
          <t>N/A</t>
        </is>
      </c>
      <c r="BL14" s="20" t="inlineStr">
        <is>
          <t>N/A</t>
        </is>
      </c>
      <c r="BM14" s="20" t="inlineStr">
        <is>
          <t>N/A</t>
        </is>
      </c>
      <c r="BN14" s="20" t="inlineStr">
        <is>
          <t>N/A</t>
        </is>
      </c>
      <c r="BO14" s="20" t="inlineStr">
        <is>
          <t>N/A</t>
        </is>
      </c>
      <c r="BP14" s="20" t="inlineStr">
        <is>
          <t>N/A</t>
        </is>
      </c>
      <c r="BQ14" s="20" t="inlineStr">
        <is>
          <t>N/A</t>
        </is>
      </c>
      <c r="BS14" s="20" t="inlineStr">
        <is>
          <t>N/A</t>
        </is>
      </c>
      <c r="BT14" s="20" t="inlineStr">
        <is>
          <t>N/A</t>
        </is>
      </c>
      <c r="BU14" s="20" t="inlineStr">
        <is>
          <t>N/A</t>
        </is>
      </c>
      <c r="BV14" s="20" t="inlineStr">
        <is>
          <t>N/A</t>
        </is>
      </c>
      <c r="BW14" s="20" t="inlineStr">
        <is>
          <t>N/A</t>
        </is>
      </c>
      <c r="BX14" s="20" t="inlineStr">
        <is>
          <t>N/A</t>
        </is>
      </c>
      <c r="BY14" s="20" t="inlineStr">
        <is>
          <t>N/A</t>
        </is>
      </c>
      <c r="BZ14" s="20" t="inlineStr">
        <is>
          <t>N/A</t>
        </is>
      </c>
      <c r="CC14" s="20" t="inlineStr">
        <is>
          <t>N/A</t>
        </is>
      </c>
      <c r="CD14" s="20" t="inlineStr">
        <is>
          <t>N/A</t>
        </is>
      </c>
      <c r="CE14" s="20" t="inlineStr">
        <is>
          <t>N/A</t>
        </is>
      </c>
      <c r="CF14" s="20" t="inlineStr">
        <is>
          <t>N/A</t>
        </is>
      </c>
      <c r="CG14" s="20" t="inlineStr">
        <is>
          <t>N/A</t>
        </is>
      </c>
      <c r="CH14" s="20" t="inlineStr">
        <is>
          <t>N/A</t>
        </is>
      </c>
      <c r="CI14" s="20" t="inlineStr">
        <is>
          <t>N/A</t>
        </is>
      </c>
      <c r="CK14" s="20" t="inlineStr">
        <is>
          <t>N/A</t>
        </is>
      </c>
      <c r="CL14" s="20" t="inlineStr">
        <is>
          <t>N/A</t>
        </is>
      </c>
      <c r="CM14" s="20" t="inlineStr">
        <is>
          <t>N/A</t>
        </is>
      </c>
      <c r="CN14" s="20" t="inlineStr">
        <is>
          <t>N/A</t>
        </is>
      </c>
      <c r="CP14" s="20" t="inlineStr">
        <is>
          <t>N/A</t>
        </is>
      </c>
      <c r="CQ14" s="20" t="inlineStr">
        <is>
          <t>N/A</t>
        </is>
      </c>
      <c r="CR14" s="20" t="inlineStr">
        <is>
          <t>N/A</t>
        </is>
      </c>
      <c r="CS14" s="20" t="inlineStr">
        <is>
          <t>N/A</t>
        </is>
      </c>
      <c r="CT14" s="20" t="inlineStr">
        <is>
          <t>N/A</t>
        </is>
      </c>
      <c r="CV14" s="20" t="inlineStr">
        <is>
          <t>N/A</t>
        </is>
      </c>
      <c r="CW14" s="20" t="inlineStr">
        <is>
          <t>N/A</t>
        </is>
      </c>
      <c r="CX14" s="20" t="inlineStr">
        <is>
          <t>N/A</t>
        </is>
      </c>
      <c r="CY14" s="20" t="inlineStr">
        <is>
          <t>N/A</t>
        </is>
      </c>
      <c r="CZ14" s="20" t="inlineStr">
        <is>
          <t>N/A</t>
        </is>
      </c>
      <c r="DB14" s="20" t="inlineStr">
        <is>
          <t>N/A</t>
        </is>
      </c>
      <c r="DC14" s="20" t="inlineStr">
        <is>
          <t>N/A</t>
        </is>
      </c>
      <c r="DD14" s="20" t="inlineStr">
        <is>
          <t>N/A</t>
        </is>
      </c>
      <c r="DE14" s="20" t="inlineStr">
        <is>
          <t>N/A</t>
        </is>
      </c>
      <c r="DF14" s="20" t="inlineStr">
        <is>
          <t>N/A</t>
        </is>
      </c>
      <c r="DH14" s="20" t="inlineStr">
        <is>
          <t>N/A</t>
        </is>
      </c>
      <c r="DI14" s="20" t="inlineStr">
        <is>
          <t>N/A</t>
        </is>
      </c>
      <c r="DJ14" s="20" t="inlineStr">
        <is>
          <t>N/A</t>
        </is>
      </c>
      <c r="DK14" s="20" t="inlineStr">
        <is>
          <t>N/A</t>
        </is>
      </c>
      <c r="DL14" s="20" t="inlineStr">
        <is>
          <t>N/A</t>
        </is>
      </c>
      <c r="DM14" s="20" t="inlineStr">
        <is>
          <t>N/A</t>
        </is>
      </c>
      <c r="DN14" s="20" t="inlineStr">
        <is>
          <t>N/A</t>
        </is>
      </c>
      <c r="DO14" s="20" t="inlineStr">
        <is>
          <t>N/A</t>
        </is>
      </c>
      <c r="DP14" s="20" t="inlineStr">
        <is>
          <t>N/A</t>
        </is>
      </c>
      <c r="DR14" s="20" t="inlineStr">
        <is>
          <t>N/A</t>
        </is>
      </c>
      <c r="DS14" s="20" t="inlineStr">
        <is>
          <t>N/A</t>
        </is>
      </c>
      <c r="DT14" s="20" t="inlineStr">
        <is>
          <t>N/A</t>
        </is>
      </c>
      <c r="DU14" s="20" t="inlineStr">
        <is>
          <t>N/A</t>
        </is>
      </c>
      <c r="DV14" s="20" t="inlineStr">
        <is>
          <t>N/A</t>
        </is>
      </c>
      <c r="DW14" s="20" t="inlineStr">
        <is>
          <t>N/A</t>
        </is>
      </c>
      <c r="DZ14" s="20" t="inlineStr">
        <is>
          <t>N/A</t>
        </is>
      </c>
      <c r="EA14" s="20" t="inlineStr">
        <is>
          <t>N/A</t>
        </is>
      </c>
      <c r="EB14" s="20" t="inlineStr">
        <is>
          <t>N/A</t>
        </is>
      </c>
      <c r="EC14" s="20" t="inlineStr">
        <is>
          <t>N/A</t>
        </is>
      </c>
      <c r="ED14" s="20" t="inlineStr">
        <is>
          <t>N/A</t>
        </is>
      </c>
      <c r="EE14" s="20" t="inlineStr">
        <is>
          <t>N/A</t>
        </is>
      </c>
      <c r="EG14" s="20" t="inlineStr">
        <is>
          <t>N/A</t>
        </is>
      </c>
      <c r="EH14" s="20" t="inlineStr">
        <is>
          <t>N/A</t>
        </is>
      </c>
      <c r="EI14" s="20" t="inlineStr">
        <is>
          <t>N/A</t>
        </is>
      </c>
      <c r="EJ14" s="20" t="inlineStr">
        <is>
          <t>N/A</t>
        </is>
      </c>
      <c r="EK14" s="20" t="inlineStr">
        <is>
          <t>N/A</t>
        </is>
      </c>
      <c r="EL14" s="20" t="inlineStr">
        <is>
          <t>N/A</t>
        </is>
      </c>
      <c r="EM14" s="20" t="inlineStr">
        <is>
          <t>N/A</t>
        </is>
      </c>
      <c r="EN14" s="20" t="inlineStr">
        <is>
          <t>N/A</t>
        </is>
      </c>
      <c r="EO14" s="20" t="inlineStr">
        <is>
          <t>N/A</t>
        </is>
      </c>
      <c r="EP14" s="20" t="inlineStr">
        <is>
          <t>N/A</t>
        </is>
      </c>
      <c r="EQ14" s="20" t="inlineStr">
        <is>
          <t>N/A</t>
        </is>
      </c>
      <c r="ER14" s="20" t="inlineStr">
        <is>
          <t>N/A</t>
        </is>
      </c>
      <c r="ES14" s="20" t="inlineStr">
        <is>
          <t>N/A</t>
        </is>
      </c>
      <c r="ET14" s="20" t="inlineStr">
        <is>
          <t>N/A</t>
        </is>
      </c>
      <c r="EU14" s="20" t="inlineStr">
        <is>
          <t>N/A</t>
        </is>
      </c>
      <c r="EV14" s="20" t="inlineStr">
        <is>
          <t>N/A</t>
        </is>
      </c>
      <c r="EW14" s="20" t="inlineStr">
        <is>
          <t>N/A</t>
        </is>
      </c>
      <c r="EX14" s="20" t="inlineStr">
        <is>
          <t>N/A</t>
        </is>
      </c>
      <c r="EY14" s="20" t="inlineStr">
        <is>
          <t>N/A</t>
        </is>
      </c>
      <c r="FA14" s="20" t="inlineStr">
        <is>
          <t>N/A</t>
        </is>
      </c>
      <c r="FB14" s="20" t="inlineStr">
        <is>
          <t>N/A</t>
        </is>
      </c>
      <c r="FC14" s="20" t="inlineStr">
        <is>
          <t>N/A</t>
        </is>
      </c>
      <c r="FD14" s="20" t="inlineStr">
        <is>
          <t>N/A</t>
        </is>
      </c>
      <c r="FE14" s="20" t="inlineStr">
        <is>
          <t>N/A</t>
        </is>
      </c>
      <c r="FF14" s="20" t="inlineStr">
        <is>
          <t>N/A</t>
        </is>
      </c>
      <c r="FG14" s="20" t="inlineStr">
        <is>
          <t>N/A</t>
        </is>
      </c>
      <c r="FH14" s="20" t="inlineStr">
        <is>
          <t>N/A</t>
        </is>
      </c>
      <c r="FI14" s="20" t="inlineStr">
        <is>
          <t>N/A</t>
        </is>
      </c>
      <c r="FK14" s="20" t="inlineStr">
        <is>
          <t>N/A</t>
        </is>
      </c>
      <c r="FL14" s="20" t="inlineStr">
        <is>
          <t>N/A</t>
        </is>
      </c>
      <c r="FM14" s="20" t="inlineStr">
        <is>
          <t>N/A</t>
        </is>
      </c>
      <c r="FN14" s="20" t="inlineStr">
        <is>
          <t>N/A</t>
        </is>
      </c>
      <c r="FO14" s="20" t="inlineStr">
        <is>
          <t>N/A</t>
        </is>
      </c>
      <c r="FP14" s="20" t="inlineStr">
        <is>
          <t>N/A</t>
        </is>
      </c>
      <c r="FQ14" s="20" t="inlineStr">
        <is>
          <t>N/A</t>
        </is>
      </c>
      <c r="FS14" s="20" t="inlineStr">
        <is>
          <t>N/A</t>
        </is>
      </c>
      <c r="FT14" s="20" t="inlineStr">
        <is>
          <t>N/A</t>
        </is>
      </c>
      <c r="FU14" s="20" t="inlineStr">
        <is>
          <t>N/A</t>
        </is>
      </c>
      <c r="FV14" s="20" t="inlineStr">
        <is>
          <t>N/A</t>
        </is>
      </c>
      <c r="FW14" s="20" t="inlineStr">
        <is>
          <t>N/A</t>
        </is>
      </c>
      <c r="FX14" s="20" t="inlineStr">
        <is>
          <t>N/A</t>
        </is>
      </c>
      <c r="FY14" s="20" t="inlineStr">
        <is>
          <t>N/A</t>
        </is>
      </c>
      <c r="FZ14" s="20" t="inlineStr">
        <is>
          <t>N/A</t>
        </is>
      </c>
      <c r="GA14" s="20" t="inlineStr">
        <is>
          <t>N/A</t>
        </is>
      </c>
      <c r="GB14" s="20" t="inlineStr">
        <is>
          <t>N/A</t>
        </is>
      </c>
      <c r="GC14" s="20" t="inlineStr">
        <is>
          <t>N/A</t>
        </is>
      </c>
      <c r="GD14" s="20" t="inlineStr">
        <is>
          <t>N/A</t>
        </is>
      </c>
      <c r="GE14" s="20" t="inlineStr">
        <is>
          <t>N/A</t>
        </is>
      </c>
      <c r="GF14" s="20" t="inlineStr">
        <is>
          <t>N/A</t>
        </is>
      </c>
      <c r="GG14" s="20" t="inlineStr">
        <is>
          <t>N/A</t>
        </is>
      </c>
    </row>
    <row r="15" ht="15" customHeight="1" s="21">
      <c r="A15" s="20" t="n">
        <v>14</v>
      </c>
      <c r="C15" s="20" t="n">
        <v>12</v>
      </c>
      <c r="D15" s="20" t="inlineStr">
        <is>
          <t>en</t>
        </is>
      </c>
      <c r="E15" s="20" t="n">
        <v>1887887645</v>
      </c>
      <c r="F15" s="20" t="inlineStr">
        <is>
          <t>Professional / Support staff (including IT and library)</t>
        </is>
      </c>
      <c r="H15" s="20" t="inlineStr">
        <is>
          <t>Somewhat important</t>
        </is>
      </c>
      <c r="I15" s="20" t="inlineStr">
        <is>
          <t>No</t>
        </is>
      </c>
      <c r="J15" s="20" t="inlineStr">
        <is>
          <t>No</t>
        </is>
      </c>
      <c r="K15" s="20" t="inlineStr">
        <is>
          <t>No</t>
        </is>
      </c>
      <c r="L15" s="20" t="inlineStr">
        <is>
          <t>Yes</t>
        </is>
      </c>
      <c r="M15" s="20" t="inlineStr">
        <is>
          <t>No</t>
        </is>
      </c>
      <c r="N15" s="20" t="inlineStr">
        <is>
          <t>No</t>
        </is>
      </c>
      <c r="O15" s="20" t="inlineStr">
        <is>
          <t>No</t>
        </is>
      </c>
      <c r="P15" s="20" t="inlineStr">
        <is>
          <t>No</t>
        </is>
      </c>
      <c r="R15" s="20" t="inlineStr">
        <is>
          <t>Not confident</t>
        </is>
      </c>
      <c r="T15" s="20" t="inlineStr">
        <is>
          <t>N/A</t>
        </is>
      </c>
      <c r="U15" s="20" t="inlineStr">
        <is>
          <t>N/A</t>
        </is>
      </c>
      <c r="V15" s="20" t="inlineStr">
        <is>
          <t>N/A</t>
        </is>
      </c>
      <c r="W15" s="20" t="inlineStr">
        <is>
          <t>N/A</t>
        </is>
      </c>
      <c r="X15" s="20" t="inlineStr">
        <is>
          <t>Yes</t>
        </is>
      </c>
      <c r="Z15" s="20" t="inlineStr">
        <is>
          <t>N/A</t>
        </is>
      </c>
      <c r="AA15" s="20" t="inlineStr">
        <is>
          <t>N/A</t>
        </is>
      </c>
      <c r="AB15" s="20" t="inlineStr">
        <is>
          <t>N/A</t>
        </is>
      </c>
      <c r="AC15" s="20" t="inlineStr">
        <is>
          <t>N/A</t>
        </is>
      </c>
      <c r="AD15" s="20" t="inlineStr">
        <is>
          <t>N/A</t>
        </is>
      </c>
      <c r="AE15" s="20" t="inlineStr">
        <is>
          <t>N/A</t>
        </is>
      </c>
      <c r="AF15" s="20" t="inlineStr">
        <is>
          <t>Yes</t>
        </is>
      </c>
      <c r="AH15" s="20" t="inlineStr">
        <is>
          <t>N/A</t>
        </is>
      </c>
      <c r="AI15" s="20" t="inlineStr">
        <is>
          <t>N/A</t>
        </is>
      </c>
      <c r="AJ15" s="20" t="inlineStr">
        <is>
          <t>N/A</t>
        </is>
      </c>
      <c r="AK15" s="20" t="inlineStr">
        <is>
          <t>Yes</t>
        </is>
      </c>
      <c r="AM15" s="20" t="inlineStr">
        <is>
          <t>N/A</t>
        </is>
      </c>
      <c r="AN15" s="20" t="inlineStr">
        <is>
          <t>N/A</t>
        </is>
      </c>
      <c r="AO15" s="20" t="inlineStr">
        <is>
          <t>N/A</t>
        </is>
      </c>
      <c r="AP15" s="20" t="inlineStr">
        <is>
          <t>N/A</t>
        </is>
      </c>
      <c r="AQ15" s="20" t="inlineStr">
        <is>
          <t>N/A</t>
        </is>
      </c>
      <c r="AR15" s="20" t="inlineStr">
        <is>
          <t>N/A</t>
        </is>
      </c>
      <c r="AS15" s="20" t="inlineStr">
        <is>
          <t>Yes</t>
        </is>
      </c>
      <c r="AU15" s="20" t="inlineStr">
        <is>
          <t>N/A</t>
        </is>
      </c>
      <c r="AV15" s="20" t="inlineStr">
        <is>
          <t>N/A</t>
        </is>
      </c>
      <c r="AW15" s="20" t="inlineStr">
        <is>
          <t>N/A</t>
        </is>
      </c>
      <c r="AX15" s="20" t="inlineStr">
        <is>
          <t>N/A</t>
        </is>
      </c>
      <c r="AY15" s="20" t="inlineStr">
        <is>
          <t>N/A</t>
        </is>
      </c>
      <c r="AZ15" s="20" t="inlineStr">
        <is>
          <t>Yes</t>
        </is>
      </c>
      <c r="BB15" s="20" t="inlineStr">
        <is>
          <t>N/A</t>
        </is>
      </c>
      <c r="BC15" s="20" t="inlineStr">
        <is>
          <t>N/A</t>
        </is>
      </c>
      <c r="BD15" s="20" t="inlineStr">
        <is>
          <t>N/A</t>
        </is>
      </c>
      <c r="BE15" s="20" t="inlineStr">
        <is>
          <t>N/A</t>
        </is>
      </c>
      <c r="BF15" s="20" t="inlineStr">
        <is>
          <t>N/A</t>
        </is>
      </c>
      <c r="BG15" s="20" t="inlineStr">
        <is>
          <t>Yes</t>
        </is>
      </c>
      <c r="BI15" s="20" t="inlineStr">
        <is>
          <t>N/A</t>
        </is>
      </c>
      <c r="BJ15" s="20" t="inlineStr">
        <is>
          <t>N/A</t>
        </is>
      </c>
      <c r="BK15" s="20" t="inlineStr">
        <is>
          <t>N/A</t>
        </is>
      </c>
      <c r="BL15" s="20" t="inlineStr">
        <is>
          <t>N/A</t>
        </is>
      </c>
      <c r="BM15" s="20" t="inlineStr">
        <is>
          <t>N/A</t>
        </is>
      </c>
      <c r="BN15" s="20" t="inlineStr">
        <is>
          <t>N/A</t>
        </is>
      </c>
      <c r="BO15" s="20" t="inlineStr">
        <is>
          <t>N/A</t>
        </is>
      </c>
      <c r="BP15" s="20" t="inlineStr">
        <is>
          <t>N/A</t>
        </is>
      </c>
      <c r="BQ15" s="20" t="inlineStr">
        <is>
          <t>Yes</t>
        </is>
      </c>
      <c r="BS15" s="20" t="inlineStr">
        <is>
          <t>N/A</t>
        </is>
      </c>
      <c r="BT15" s="20" t="inlineStr">
        <is>
          <t>N/A</t>
        </is>
      </c>
      <c r="BU15" s="20" t="inlineStr">
        <is>
          <t>N/A</t>
        </is>
      </c>
      <c r="BV15" s="20" t="inlineStr">
        <is>
          <t>N/A</t>
        </is>
      </c>
      <c r="BW15" s="20" t="inlineStr">
        <is>
          <t>N/A</t>
        </is>
      </c>
      <c r="BX15" s="20" t="inlineStr">
        <is>
          <t>N/A</t>
        </is>
      </c>
      <c r="BY15" s="20" t="inlineStr">
        <is>
          <t>N/A</t>
        </is>
      </c>
      <c r="BZ15" s="20" t="inlineStr">
        <is>
          <t>Yes</t>
        </is>
      </c>
      <c r="CC15" s="20" t="inlineStr">
        <is>
          <t>N/A</t>
        </is>
      </c>
      <c r="CD15" s="20" t="inlineStr">
        <is>
          <t>N/A</t>
        </is>
      </c>
      <c r="CE15" s="20" t="inlineStr">
        <is>
          <t>N/A</t>
        </is>
      </c>
      <c r="CF15" s="20" t="inlineStr">
        <is>
          <t>N/A</t>
        </is>
      </c>
      <c r="CG15" s="20" t="inlineStr">
        <is>
          <t>N/A</t>
        </is>
      </c>
      <c r="CH15" s="20" t="inlineStr">
        <is>
          <t>N/A</t>
        </is>
      </c>
      <c r="CI15" s="20" t="inlineStr">
        <is>
          <t>N/A</t>
        </is>
      </c>
      <c r="CK15" s="20" t="inlineStr">
        <is>
          <t>N/A</t>
        </is>
      </c>
      <c r="CL15" s="20" t="inlineStr">
        <is>
          <t>N/A</t>
        </is>
      </c>
      <c r="CM15" s="20" t="inlineStr">
        <is>
          <t>N/A</t>
        </is>
      </c>
      <c r="CN15" s="20" t="inlineStr">
        <is>
          <t>N/A</t>
        </is>
      </c>
      <c r="CP15" s="20" t="inlineStr">
        <is>
          <t>N/A</t>
        </is>
      </c>
      <c r="CQ15" s="20" t="inlineStr">
        <is>
          <t>N/A</t>
        </is>
      </c>
      <c r="CR15" s="20" t="inlineStr">
        <is>
          <t>N/A</t>
        </is>
      </c>
      <c r="CS15" s="20" t="inlineStr">
        <is>
          <t>N/A</t>
        </is>
      </c>
      <c r="CT15" s="20" t="inlineStr">
        <is>
          <t>N/A</t>
        </is>
      </c>
      <c r="CV15" s="20" t="inlineStr">
        <is>
          <t>N/A</t>
        </is>
      </c>
      <c r="CW15" s="20" t="inlineStr">
        <is>
          <t>N/A</t>
        </is>
      </c>
      <c r="CX15" s="20" t="inlineStr">
        <is>
          <t>N/A</t>
        </is>
      </c>
      <c r="CY15" s="20" t="inlineStr">
        <is>
          <t>N/A</t>
        </is>
      </c>
      <c r="CZ15" s="20" t="inlineStr">
        <is>
          <t>N/A</t>
        </is>
      </c>
      <c r="DB15" s="20" t="inlineStr">
        <is>
          <t>N/A</t>
        </is>
      </c>
      <c r="DC15" s="20" t="inlineStr">
        <is>
          <t>N/A</t>
        </is>
      </c>
      <c r="DD15" s="20" t="inlineStr">
        <is>
          <t>N/A</t>
        </is>
      </c>
      <c r="DE15" s="20" t="inlineStr">
        <is>
          <t>N/A</t>
        </is>
      </c>
      <c r="DF15" s="20" t="inlineStr">
        <is>
          <t>N/A</t>
        </is>
      </c>
      <c r="DH15" s="20" t="inlineStr">
        <is>
          <t>N/A</t>
        </is>
      </c>
      <c r="DI15" s="20" t="inlineStr">
        <is>
          <t>N/A</t>
        </is>
      </c>
      <c r="DJ15" s="20" t="inlineStr">
        <is>
          <t>N/A</t>
        </is>
      </c>
      <c r="DK15" s="20" t="inlineStr">
        <is>
          <t>N/A</t>
        </is>
      </c>
      <c r="DL15" s="20" t="inlineStr">
        <is>
          <t>N/A</t>
        </is>
      </c>
      <c r="DM15" s="20" t="inlineStr">
        <is>
          <t>N/A</t>
        </is>
      </c>
      <c r="DN15" s="20" t="inlineStr">
        <is>
          <t>N/A</t>
        </is>
      </c>
      <c r="DO15" s="20" t="inlineStr">
        <is>
          <t>N/A</t>
        </is>
      </c>
      <c r="DP15" s="20" t="inlineStr">
        <is>
          <t>N/A</t>
        </is>
      </c>
      <c r="DR15" s="20" t="inlineStr">
        <is>
          <t>N/A</t>
        </is>
      </c>
      <c r="DS15" s="20" t="inlineStr">
        <is>
          <t>N/A</t>
        </is>
      </c>
      <c r="DT15" s="20" t="inlineStr">
        <is>
          <t>N/A</t>
        </is>
      </c>
      <c r="DU15" s="20" t="inlineStr">
        <is>
          <t>N/A</t>
        </is>
      </c>
      <c r="DV15" s="20" t="inlineStr">
        <is>
          <t>N/A</t>
        </is>
      </c>
      <c r="DW15" s="20" t="inlineStr">
        <is>
          <t>N/A</t>
        </is>
      </c>
      <c r="DZ15" s="20" t="inlineStr">
        <is>
          <t>N/A</t>
        </is>
      </c>
      <c r="EA15" s="20" t="inlineStr">
        <is>
          <t>N/A</t>
        </is>
      </c>
      <c r="EB15" s="20" t="inlineStr">
        <is>
          <t>N/A</t>
        </is>
      </c>
      <c r="EC15" s="20" t="inlineStr">
        <is>
          <t>N/A</t>
        </is>
      </c>
      <c r="ED15" s="20" t="inlineStr">
        <is>
          <t>N/A</t>
        </is>
      </c>
      <c r="EE15" s="20" t="inlineStr">
        <is>
          <t>N/A</t>
        </is>
      </c>
      <c r="EG15" s="20" t="inlineStr">
        <is>
          <t>N/A</t>
        </is>
      </c>
      <c r="EH15" s="20" t="inlineStr">
        <is>
          <t>N/A</t>
        </is>
      </c>
      <c r="EI15" s="20" t="inlineStr">
        <is>
          <t>N/A</t>
        </is>
      </c>
      <c r="EJ15" s="20" t="inlineStr">
        <is>
          <t>N/A</t>
        </is>
      </c>
      <c r="EK15" s="20" t="inlineStr">
        <is>
          <t>N/A</t>
        </is>
      </c>
      <c r="EL15" s="20" t="inlineStr">
        <is>
          <t>N/A</t>
        </is>
      </c>
      <c r="EM15" s="20" t="inlineStr">
        <is>
          <t>N/A</t>
        </is>
      </c>
      <c r="EN15" s="20" t="inlineStr">
        <is>
          <t>N/A</t>
        </is>
      </c>
      <c r="EO15" s="20" t="inlineStr">
        <is>
          <t>N/A</t>
        </is>
      </c>
      <c r="EP15" s="20" t="inlineStr">
        <is>
          <t>N/A</t>
        </is>
      </c>
      <c r="EQ15" s="20" t="inlineStr">
        <is>
          <t>N/A</t>
        </is>
      </c>
      <c r="ER15" s="20" t="inlineStr">
        <is>
          <t>N/A</t>
        </is>
      </c>
      <c r="ES15" s="20" t="inlineStr">
        <is>
          <t>N/A</t>
        </is>
      </c>
      <c r="ET15" s="20" t="inlineStr">
        <is>
          <t>N/A</t>
        </is>
      </c>
      <c r="EU15" s="20" t="inlineStr">
        <is>
          <t>N/A</t>
        </is>
      </c>
      <c r="EV15" s="20" t="inlineStr">
        <is>
          <t>N/A</t>
        </is>
      </c>
      <c r="EW15" s="20" t="inlineStr">
        <is>
          <t>N/A</t>
        </is>
      </c>
      <c r="EX15" s="20" t="inlineStr">
        <is>
          <t>N/A</t>
        </is>
      </c>
      <c r="EY15" s="20" t="inlineStr">
        <is>
          <t>N/A</t>
        </is>
      </c>
      <c r="FA15" s="20" t="inlineStr">
        <is>
          <t>N/A</t>
        </is>
      </c>
      <c r="FB15" s="20" t="inlineStr">
        <is>
          <t>N/A</t>
        </is>
      </c>
      <c r="FC15" s="20" t="inlineStr">
        <is>
          <t>N/A</t>
        </is>
      </c>
      <c r="FD15" s="20" t="inlineStr">
        <is>
          <t>N/A</t>
        </is>
      </c>
      <c r="FE15" s="20" t="inlineStr">
        <is>
          <t>N/A</t>
        </is>
      </c>
      <c r="FF15" s="20" t="inlineStr">
        <is>
          <t>N/A</t>
        </is>
      </c>
      <c r="FG15" s="20" t="inlineStr">
        <is>
          <t>N/A</t>
        </is>
      </c>
      <c r="FH15" s="20" t="inlineStr">
        <is>
          <t>N/A</t>
        </is>
      </c>
      <c r="FI15" s="20" t="inlineStr">
        <is>
          <t>N/A</t>
        </is>
      </c>
      <c r="FK15" s="20" t="inlineStr">
        <is>
          <t>N/A</t>
        </is>
      </c>
      <c r="FL15" s="20" t="inlineStr">
        <is>
          <t>N/A</t>
        </is>
      </c>
      <c r="FM15" s="20" t="inlineStr">
        <is>
          <t>N/A</t>
        </is>
      </c>
      <c r="FN15" s="20" t="inlineStr">
        <is>
          <t>N/A</t>
        </is>
      </c>
      <c r="FO15" s="20" t="inlineStr">
        <is>
          <t>N/A</t>
        </is>
      </c>
      <c r="FP15" s="20" t="inlineStr">
        <is>
          <t>N/A</t>
        </is>
      </c>
      <c r="FQ15" s="20" t="inlineStr">
        <is>
          <t>N/A</t>
        </is>
      </c>
      <c r="FS15" s="20" t="inlineStr">
        <is>
          <t>N/A</t>
        </is>
      </c>
      <c r="FT15" s="20" t="inlineStr">
        <is>
          <t>N/A</t>
        </is>
      </c>
      <c r="FU15" s="20" t="inlineStr">
        <is>
          <t>N/A</t>
        </is>
      </c>
      <c r="FV15" s="20" t="inlineStr">
        <is>
          <t>N/A</t>
        </is>
      </c>
      <c r="FW15" s="20" t="inlineStr">
        <is>
          <t>N/A</t>
        </is>
      </c>
      <c r="FX15" s="20" t="inlineStr">
        <is>
          <t>N/A</t>
        </is>
      </c>
      <c r="FY15" s="20" t="inlineStr">
        <is>
          <t>N/A</t>
        </is>
      </c>
      <c r="FZ15" s="20" t="inlineStr">
        <is>
          <t>N/A</t>
        </is>
      </c>
      <c r="GA15" s="20" t="inlineStr">
        <is>
          <t>N/A</t>
        </is>
      </c>
      <c r="GB15" s="20" t="inlineStr">
        <is>
          <t>N/A</t>
        </is>
      </c>
      <c r="GC15" s="20" t="inlineStr">
        <is>
          <t>N/A</t>
        </is>
      </c>
      <c r="GD15" s="20" t="inlineStr">
        <is>
          <t>N/A</t>
        </is>
      </c>
      <c r="GE15" s="20" t="inlineStr">
        <is>
          <t>N/A</t>
        </is>
      </c>
      <c r="GF15" s="20" t="inlineStr">
        <is>
          <t>N/A</t>
        </is>
      </c>
      <c r="GG15" s="20" t="inlineStr">
        <is>
          <t>N/A</t>
        </is>
      </c>
    </row>
    <row r="16" ht="15" customHeight="1" s="21">
      <c r="A16" s="20" t="n">
        <v>15</v>
      </c>
      <c r="C16" s="20" t="n">
        <v>12</v>
      </c>
      <c r="D16" s="20" t="inlineStr">
        <is>
          <t>en</t>
        </is>
      </c>
      <c r="E16" s="20" t="n">
        <v>929693758</v>
      </c>
      <c r="F16" s="20" t="inlineStr">
        <is>
          <t>Professional / Support staff (including IT and library)</t>
        </is>
      </c>
      <c r="H16" s="20" t="inlineStr">
        <is>
          <t>Important</t>
        </is>
      </c>
      <c r="I16" s="20" t="inlineStr">
        <is>
          <t>No</t>
        </is>
      </c>
      <c r="J16" s="20" t="inlineStr">
        <is>
          <t>No</t>
        </is>
      </c>
      <c r="K16" s="20" t="inlineStr">
        <is>
          <t>Yes</t>
        </is>
      </c>
      <c r="L16" s="20" t="inlineStr">
        <is>
          <t>No</t>
        </is>
      </c>
      <c r="M16" s="20" t="inlineStr">
        <is>
          <t>No</t>
        </is>
      </c>
      <c r="N16" s="20" t="inlineStr">
        <is>
          <t>No</t>
        </is>
      </c>
      <c r="O16" s="20" t="inlineStr">
        <is>
          <t>No</t>
        </is>
      </c>
      <c r="P16" s="20" t="inlineStr">
        <is>
          <t>No</t>
        </is>
      </c>
      <c r="R16" s="20" t="inlineStr">
        <is>
          <t>Somewhat confident</t>
        </is>
      </c>
      <c r="T16" s="20" t="inlineStr">
        <is>
          <t>N/A</t>
        </is>
      </c>
      <c r="U16" s="20" t="inlineStr">
        <is>
          <t>N/A</t>
        </is>
      </c>
      <c r="V16" s="20" t="inlineStr">
        <is>
          <t>N/A</t>
        </is>
      </c>
      <c r="W16" s="20" t="inlineStr">
        <is>
          <t>N/A</t>
        </is>
      </c>
      <c r="X16" s="20" t="inlineStr">
        <is>
          <t>Yes</t>
        </is>
      </c>
      <c r="Z16" s="20" t="inlineStr">
        <is>
          <t>N/A</t>
        </is>
      </c>
      <c r="AA16" s="20" t="inlineStr">
        <is>
          <t>N/A</t>
        </is>
      </c>
      <c r="AB16" s="20" t="inlineStr">
        <is>
          <t>N/A</t>
        </is>
      </c>
      <c r="AC16" s="20" t="inlineStr">
        <is>
          <t>N/A</t>
        </is>
      </c>
      <c r="AD16" s="20" t="inlineStr">
        <is>
          <t>N/A</t>
        </is>
      </c>
      <c r="AE16" s="20" t="inlineStr">
        <is>
          <t>N/A</t>
        </is>
      </c>
      <c r="AF16" s="20" t="inlineStr">
        <is>
          <t>Yes</t>
        </is>
      </c>
      <c r="AH16" s="20" t="inlineStr">
        <is>
          <t>N/A</t>
        </is>
      </c>
      <c r="AI16" s="20" t="inlineStr">
        <is>
          <t>N/A</t>
        </is>
      </c>
      <c r="AJ16" s="20" t="inlineStr">
        <is>
          <t>N/A</t>
        </is>
      </c>
      <c r="AK16" s="20" t="inlineStr">
        <is>
          <t>Yes</t>
        </is>
      </c>
      <c r="AM16" s="20" t="inlineStr">
        <is>
          <t>N/A</t>
        </is>
      </c>
      <c r="AN16" s="20" t="inlineStr">
        <is>
          <t>N/A</t>
        </is>
      </c>
      <c r="AO16" s="20" t="inlineStr">
        <is>
          <t>N/A</t>
        </is>
      </c>
      <c r="AP16" s="20" t="inlineStr">
        <is>
          <t>N/A</t>
        </is>
      </c>
      <c r="AQ16" s="20" t="inlineStr">
        <is>
          <t>N/A</t>
        </is>
      </c>
      <c r="AR16" s="20" t="inlineStr">
        <is>
          <t>N/A</t>
        </is>
      </c>
      <c r="AS16" s="20" t="inlineStr">
        <is>
          <t>Yes</t>
        </is>
      </c>
      <c r="AU16" s="20" t="inlineStr">
        <is>
          <t>N/A</t>
        </is>
      </c>
      <c r="AV16" s="20" t="inlineStr">
        <is>
          <t>N/A</t>
        </is>
      </c>
      <c r="AW16" s="20" t="inlineStr">
        <is>
          <t>N/A</t>
        </is>
      </c>
      <c r="AX16" s="20" t="inlineStr">
        <is>
          <t>N/A</t>
        </is>
      </c>
      <c r="AY16" s="20" t="inlineStr">
        <is>
          <t>N/A</t>
        </is>
      </c>
      <c r="AZ16" s="20" t="inlineStr">
        <is>
          <t>Yes</t>
        </is>
      </c>
      <c r="BB16" s="20" t="inlineStr">
        <is>
          <t>N/A</t>
        </is>
      </c>
      <c r="BC16" s="20" t="inlineStr">
        <is>
          <t>N/A</t>
        </is>
      </c>
      <c r="BD16" s="20" t="inlineStr">
        <is>
          <t>N/A</t>
        </is>
      </c>
      <c r="BE16" s="20" t="inlineStr">
        <is>
          <t>N/A</t>
        </is>
      </c>
      <c r="BF16" s="20" t="inlineStr">
        <is>
          <t>N/A</t>
        </is>
      </c>
      <c r="BG16" s="20" t="inlineStr">
        <is>
          <t>Yes</t>
        </is>
      </c>
      <c r="BI16" s="20" t="inlineStr">
        <is>
          <t>N/A</t>
        </is>
      </c>
      <c r="BJ16" s="20" t="inlineStr">
        <is>
          <t>N/A</t>
        </is>
      </c>
      <c r="BK16" s="20" t="inlineStr">
        <is>
          <t>N/A</t>
        </is>
      </c>
      <c r="BL16" s="20" t="inlineStr">
        <is>
          <t>N/A</t>
        </is>
      </c>
      <c r="BM16" s="20" t="inlineStr">
        <is>
          <t>N/A</t>
        </is>
      </c>
      <c r="BN16" s="20" t="inlineStr">
        <is>
          <t>N/A</t>
        </is>
      </c>
      <c r="BO16" s="20" t="inlineStr">
        <is>
          <t>N/A</t>
        </is>
      </c>
      <c r="BP16" s="20" t="inlineStr">
        <is>
          <t>N/A</t>
        </is>
      </c>
      <c r="BQ16" s="20" t="inlineStr">
        <is>
          <t>Yes</t>
        </is>
      </c>
      <c r="BS16" s="20" t="inlineStr">
        <is>
          <t>N/A</t>
        </is>
      </c>
      <c r="BT16" s="20" t="inlineStr">
        <is>
          <t>N/A</t>
        </is>
      </c>
      <c r="BU16" s="20" t="inlineStr">
        <is>
          <t>N/A</t>
        </is>
      </c>
      <c r="BV16" s="20" t="inlineStr">
        <is>
          <t>N/A</t>
        </is>
      </c>
      <c r="BW16" s="20" t="inlineStr">
        <is>
          <t>N/A</t>
        </is>
      </c>
      <c r="BX16" s="20" t="inlineStr">
        <is>
          <t>N/A</t>
        </is>
      </c>
      <c r="BY16" s="20" t="inlineStr">
        <is>
          <t>N/A</t>
        </is>
      </c>
      <c r="BZ16" s="20" t="inlineStr">
        <is>
          <t>Yes</t>
        </is>
      </c>
      <c r="CC16" s="20" t="inlineStr">
        <is>
          <t>N/A</t>
        </is>
      </c>
      <c r="CD16" s="20" t="inlineStr">
        <is>
          <t>N/A</t>
        </is>
      </c>
      <c r="CE16" s="20" t="inlineStr">
        <is>
          <t>N/A</t>
        </is>
      </c>
      <c r="CF16" s="20" t="inlineStr">
        <is>
          <t>N/A</t>
        </is>
      </c>
      <c r="CG16" s="20" t="inlineStr">
        <is>
          <t>N/A</t>
        </is>
      </c>
      <c r="CH16" s="20" t="inlineStr">
        <is>
          <t>N/A</t>
        </is>
      </c>
      <c r="CI16" s="20" t="inlineStr">
        <is>
          <t>N/A</t>
        </is>
      </c>
      <c r="CK16" s="20" t="inlineStr">
        <is>
          <t>N/A</t>
        </is>
      </c>
      <c r="CL16" s="20" t="inlineStr">
        <is>
          <t>N/A</t>
        </is>
      </c>
      <c r="CM16" s="20" t="inlineStr">
        <is>
          <t>N/A</t>
        </is>
      </c>
      <c r="CN16" s="20" t="inlineStr">
        <is>
          <t>N/A</t>
        </is>
      </c>
      <c r="CP16" s="20" t="inlineStr">
        <is>
          <t>N/A</t>
        </is>
      </c>
      <c r="CQ16" s="20" t="inlineStr">
        <is>
          <t>N/A</t>
        </is>
      </c>
      <c r="CR16" s="20" t="inlineStr">
        <is>
          <t>N/A</t>
        </is>
      </c>
      <c r="CS16" s="20" t="inlineStr">
        <is>
          <t>N/A</t>
        </is>
      </c>
      <c r="CT16" s="20" t="inlineStr">
        <is>
          <t>N/A</t>
        </is>
      </c>
      <c r="CV16" s="20" t="inlineStr">
        <is>
          <t>N/A</t>
        </is>
      </c>
      <c r="CW16" s="20" t="inlineStr">
        <is>
          <t>N/A</t>
        </is>
      </c>
      <c r="CX16" s="20" t="inlineStr">
        <is>
          <t>N/A</t>
        </is>
      </c>
      <c r="CY16" s="20" t="inlineStr">
        <is>
          <t>N/A</t>
        </is>
      </c>
      <c r="CZ16" s="20" t="inlineStr">
        <is>
          <t>N/A</t>
        </is>
      </c>
      <c r="DB16" s="20" t="inlineStr">
        <is>
          <t>N/A</t>
        </is>
      </c>
      <c r="DC16" s="20" t="inlineStr">
        <is>
          <t>N/A</t>
        </is>
      </c>
      <c r="DD16" s="20" t="inlineStr">
        <is>
          <t>N/A</t>
        </is>
      </c>
      <c r="DE16" s="20" t="inlineStr">
        <is>
          <t>N/A</t>
        </is>
      </c>
      <c r="DF16" s="20" t="inlineStr">
        <is>
          <t>N/A</t>
        </is>
      </c>
      <c r="DH16" s="20" t="inlineStr">
        <is>
          <t>N/A</t>
        </is>
      </c>
      <c r="DI16" s="20" t="inlineStr">
        <is>
          <t>N/A</t>
        </is>
      </c>
      <c r="DJ16" s="20" t="inlineStr">
        <is>
          <t>N/A</t>
        </is>
      </c>
      <c r="DK16" s="20" t="inlineStr">
        <is>
          <t>N/A</t>
        </is>
      </c>
      <c r="DL16" s="20" t="inlineStr">
        <is>
          <t>N/A</t>
        </is>
      </c>
      <c r="DM16" s="20" t="inlineStr">
        <is>
          <t>N/A</t>
        </is>
      </c>
      <c r="DN16" s="20" t="inlineStr">
        <is>
          <t>N/A</t>
        </is>
      </c>
      <c r="DO16" s="20" t="inlineStr">
        <is>
          <t>N/A</t>
        </is>
      </c>
      <c r="DP16" s="20" t="inlineStr">
        <is>
          <t>N/A</t>
        </is>
      </c>
      <c r="DR16" s="20" t="inlineStr">
        <is>
          <t>N/A</t>
        </is>
      </c>
      <c r="DS16" s="20" t="inlineStr">
        <is>
          <t>N/A</t>
        </is>
      </c>
      <c r="DT16" s="20" t="inlineStr">
        <is>
          <t>N/A</t>
        </is>
      </c>
      <c r="DU16" s="20" t="inlineStr">
        <is>
          <t>N/A</t>
        </is>
      </c>
      <c r="DV16" s="20" t="inlineStr">
        <is>
          <t>N/A</t>
        </is>
      </c>
      <c r="DW16" s="20" t="inlineStr">
        <is>
          <t>N/A</t>
        </is>
      </c>
      <c r="DZ16" s="20" t="inlineStr">
        <is>
          <t>N/A</t>
        </is>
      </c>
      <c r="EA16" s="20" t="inlineStr">
        <is>
          <t>N/A</t>
        </is>
      </c>
      <c r="EB16" s="20" t="inlineStr">
        <is>
          <t>N/A</t>
        </is>
      </c>
      <c r="EC16" s="20" t="inlineStr">
        <is>
          <t>N/A</t>
        </is>
      </c>
      <c r="ED16" s="20" t="inlineStr">
        <is>
          <t>N/A</t>
        </is>
      </c>
      <c r="EE16" s="20" t="inlineStr">
        <is>
          <t>N/A</t>
        </is>
      </c>
      <c r="EG16" s="20" t="inlineStr">
        <is>
          <t>N/A</t>
        </is>
      </c>
      <c r="EH16" s="20" t="inlineStr">
        <is>
          <t>N/A</t>
        </is>
      </c>
      <c r="EI16" s="20" t="inlineStr">
        <is>
          <t>N/A</t>
        </is>
      </c>
      <c r="EJ16" s="20" t="inlineStr">
        <is>
          <t>N/A</t>
        </is>
      </c>
      <c r="EK16" s="20" t="inlineStr">
        <is>
          <t>N/A</t>
        </is>
      </c>
      <c r="EL16" s="20" t="inlineStr">
        <is>
          <t>N/A</t>
        </is>
      </c>
      <c r="EM16" s="20" t="inlineStr">
        <is>
          <t>N/A</t>
        </is>
      </c>
      <c r="EN16" s="20" t="inlineStr">
        <is>
          <t>N/A</t>
        </is>
      </c>
      <c r="EO16" s="20" t="inlineStr">
        <is>
          <t>N/A</t>
        </is>
      </c>
      <c r="EP16" s="20" t="inlineStr">
        <is>
          <t>N/A</t>
        </is>
      </c>
      <c r="EQ16" s="20" t="inlineStr">
        <is>
          <t>N/A</t>
        </is>
      </c>
      <c r="ER16" s="20" t="inlineStr">
        <is>
          <t>N/A</t>
        </is>
      </c>
      <c r="ES16" s="20" t="inlineStr">
        <is>
          <t>N/A</t>
        </is>
      </c>
      <c r="ET16" s="20" t="inlineStr">
        <is>
          <t>N/A</t>
        </is>
      </c>
      <c r="EU16" s="20" t="inlineStr">
        <is>
          <t>N/A</t>
        </is>
      </c>
      <c r="EV16" s="20" t="inlineStr">
        <is>
          <t>N/A</t>
        </is>
      </c>
      <c r="EW16" s="20" t="inlineStr">
        <is>
          <t>N/A</t>
        </is>
      </c>
      <c r="EX16" s="20" t="inlineStr">
        <is>
          <t>N/A</t>
        </is>
      </c>
      <c r="EY16" s="20" t="inlineStr">
        <is>
          <t>N/A</t>
        </is>
      </c>
      <c r="FA16" s="20" t="inlineStr">
        <is>
          <t>N/A</t>
        </is>
      </c>
      <c r="FB16" s="20" t="inlineStr">
        <is>
          <t>N/A</t>
        </is>
      </c>
      <c r="FC16" s="20" t="inlineStr">
        <is>
          <t>N/A</t>
        </is>
      </c>
      <c r="FD16" s="20" t="inlineStr">
        <is>
          <t>N/A</t>
        </is>
      </c>
      <c r="FE16" s="20" t="inlineStr">
        <is>
          <t>N/A</t>
        </is>
      </c>
      <c r="FF16" s="20" t="inlineStr">
        <is>
          <t>N/A</t>
        </is>
      </c>
      <c r="FG16" s="20" t="inlineStr">
        <is>
          <t>N/A</t>
        </is>
      </c>
      <c r="FH16" s="20" t="inlineStr">
        <is>
          <t>N/A</t>
        </is>
      </c>
      <c r="FI16" s="20" t="inlineStr">
        <is>
          <t>N/A</t>
        </is>
      </c>
      <c r="FK16" s="20" t="inlineStr">
        <is>
          <t>N/A</t>
        </is>
      </c>
      <c r="FL16" s="20" t="inlineStr">
        <is>
          <t>N/A</t>
        </is>
      </c>
      <c r="FM16" s="20" t="inlineStr">
        <is>
          <t>N/A</t>
        </is>
      </c>
      <c r="FN16" s="20" t="inlineStr">
        <is>
          <t>N/A</t>
        </is>
      </c>
      <c r="FO16" s="20" t="inlineStr">
        <is>
          <t>N/A</t>
        </is>
      </c>
      <c r="FP16" s="20" t="inlineStr">
        <is>
          <t>N/A</t>
        </is>
      </c>
      <c r="FQ16" s="20" t="inlineStr">
        <is>
          <t>N/A</t>
        </is>
      </c>
      <c r="FS16" s="20" t="inlineStr">
        <is>
          <t>N/A</t>
        </is>
      </c>
      <c r="FT16" s="20" t="inlineStr">
        <is>
          <t>N/A</t>
        </is>
      </c>
      <c r="FU16" s="20" t="inlineStr">
        <is>
          <t>N/A</t>
        </is>
      </c>
      <c r="FV16" s="20" t="inlineStr">
        <is>
          <t>N/A</t>
        </is>
      </c>
      <c r="FW16" s="20" t="inlineStr">
        <is>
          <t>N/A</t>
        </is>
      </c>
      <c r="FX16" s="20" t="inlineStr">
        <is>
          <t>N/A</t>
        </is>
      </c>
      <c r="FY16" s="20" t="inlineStr">
        <is>
          <t>N/A</t>
        </is>
      </c>
      <c r="FZ16" s="20" t="inlineStr">
        <is>
          <t>N/A</t>
        </is>
      </c>
      <c r="GA16" s="20" t="inlineStr">
        <is>
          <t>N/A</t>
        </is>
      </c>
      <c r="GB16" s="20" t="inlineStr">
        <is>
          <t>N/A</t>
        </is>
      </c>
      <c r="GC16" s="20" t="inlineStr">
        <is>
          <t>N/A</t>
        </is>
      </c>
      <c r="GD16" s="20" t="inlineStr">
        <is>
          <t>N/A</t>
        </is>
      </c>
      <c r="GE16" s="20" t="inlineStr">
        <is>
          <t>N/A</t>
        </is>
      </c>
      <c r="GF16" s="20" t="inlineStr">
        <is>
          <t>N/A</t>
        </is>
      </c>
      <c r="GG16" s="20" t="inlineStr">
        <is>
          <t>N/A</t>
        </is>
      </c>
    </row>
    <row r="17" ht="15" customHeight="1" s="21">
      <c r="A17" s="20" t="n">
        <v>16</v>
      </c>
      <c r="C17" s="20" t="n">
        <v>12</v>
      </c>
      <c r="D17" s="20" t="inlineStr">
        <is>
          <t>en</t>
        </is>
      </c>
      <c r="E17" s="20" t="n">
        <v>1398180987</v>
      </c>
      <c r="F17" s="20" t="inlineStr">
        <is>
          <t>Faculty / Academic staff</t>
        </is>
      </c>
      <c r="G17" s="20" t="inlineStr">
        <is>
          <t>Arts &amp; Humanities</t>
        </is>
      </c>
      <c r="H17" s="20" t="inlineStr">
        <is>
          <t>Somewhat important</t>
        </is>
      </c>
      <c r="I17" s="20" t="inlineStr">
        <is>
          <t>No</t>
        </is>
      </c>
      <c r="J17" s="20" t="inlineStr">
        <is>
          <t>Yes</t>
        </is>
      </c>
      <c r="K17" s="20" t="inlineStr">
        <is>
          <t>Yes</t>
        </is>
      </c>
      <c r="L17" s="20" t="inlineStr">
        <is>
          <t>No</t>
        </is>
      </c>
      <c r="M17" s="20" t="inlineStr">
        <is>
          <t>No</t>
        </is>
      </c>
      <c r="N17" s="20" t="inlineStr">
        <is>
          <t>No</t>
        </is>
      </c>
      <c r="O17" s="20" t="inlineStr">
        <is>
          <t>No</t>
        </is>
      </c>
      <c r="P17" s="20" t="inlineStr">
        <is>
          <t>No</t>
        </is>
      </c>
      <c r="R17" s="20" t="inlineStr">
        <is>
          <t>Not confident</t>
        </is>
      </c>
      <c r="T17" s="20" t="inlineStr">
        <is>
          <t>N/A</t>
        </is>
      </c>
      <c r="U17" s="20" t="inlineStr">
        <is>
          <t>N/A</t>
        </is>
      </c>
      <c r="V17" s="20" t="inlineStr">
        <is>
          <t>N/A</t>
        </is>
      </c>
      <c r="W17" s="20" t="inlineStr">
        <is>
          <t>N/A</t>
        </is>
      </c>
      <c r="X17" s="20" t="inlineStr">
        <is>
          <t>Yes</t>
        </is>
      </c>
      <c r="Z17" s="20" t="inlineStr">
        <is>
          <t>N/A</t>
        </is>
      </c>
      <c r="AA17" s="20" t="inlineStr">
        <is>
          <t>N/A</t>
        </is>
      </c>
      <c r="AB17" s="20" t="inlineStr">
        <is>
          <t>N/A</t>
        </is>
      </c>
      <c r="AC17" s="20" t="inlineStr">
        <is>
          <t>N/A</t>
        </is>
      </c>
      <c r="AD17" s="20" t="inlineStr">
        <is>
          <t>N/A</t>
        </is>
      </c>
      <c r="AE17" s="20" t="inlineStr">
        <is>
          <t>N/A</t>
        </is>
      </c>
      <c r="AF17" s="20" t="inlineStr">
        <is>
          <t>Yes</t>
        </is>
      </c>
      <c r="AH17" s="20" t="inlineStr">
        <is>
          <t>N/A</t>
        </is>
      </c>
      <c r="AI17" s="20" t="inlineStr">
        <is>
          <t>N/A</t>
        </is>
      </c>
      <c r="AJ17" s="20" t="inlineStr">
        <is>
          <t>N/A</t>
        </is>
      </c>
      <c r="AK17" s="20" t="inlineStr">
        <is>
          <t>Yes</t>
        </is>
      </c>
      <c r="AM17" s="20" t="inlineStr">
        <is>
          <t>N/A</t>
        </is>
      </c>
      <c r="AN17" s="20" t="inlineStr">
        <is>
          <t>N/A</t>
        </is>
      </c>
      <c r="AO17" s="20" t="inlineStr">
        <is>
          <t>N/A</t>
        </is>
      </c>
      <c r="AP17" s="20" t="inlineStr">
        <is>
          <t>N/A</t>
        </is>
      </c>
      <c r="AQ17" s="20" t="inlineStr">
        <is>
          <t>N/A</t>
        </is>
      </c>
      <c r="AR17" s="20" t="inlineStr">
        <is>
          <t>N/A</t>
        </is>
      </c>
      <c r="AS17" s="20" t="inlineStr">
        <is>
          <t>Yes</t>
        </is>
      </c>
      <c r="AU17" s="20" t="inlineStr">
        <is>
          <t>N/A</t>
        </is>
      </c>
      <c r="AV17" s="20" t="inlineStr">
        <is>
          <t>N/A</t>
        </is>
      </c>
      <c r="AW17" s="20" t="inlineStr">
        <is>
          <t>N/A</t>
        </is>
      </c>
      <c r="AX17" s="20" t="inlineStr">
        <is>
          <t>N/A</t>
        </is>
      </c>
      <c r="AY17" s="20" t="inlineStr">
        <is>
          <t>N/A</t>
        </is>
      </c>
      <c r="AZ17" s="20" t="inlineStr">
        <is>
          <t>Yes</t>
        </is>
      </c>
      <c r="BB17" s="20" t="inlineStr">
        <is>
          <t>N/A</t>
        </is>
      </c>
      <c r="BC17" s="20" t="inlineStr">
        <is>
          <t>N/A</t>
        </is>
      </c>
      <c r="BD17" s="20" t="inlineStr">
        <is>
          <t>N/A</t>
        </is>
      </c>
      <c r="BE17" s="20" t="inlineStr">
        <is>
          <t>N/A</t>
        </is>
      </c>
      <c r="BF17" s="20" t="inlineStr">
        <is>
          <t>N/A</t>
        </is>
      </c>
      <c r="BG17" s="20" t="inlineStr">
        <is>
          <t>Yes</t>
        </is>
      </c>
      <c r="BI17" s="20" t="inlineStr">
        <is>
          <t>N/A</t>
        </is>
      </c>
      <c r="BJ17" s="20" t="inlineStr">
        <is>
          <t>N/A</t>
        </is>
      </c>
      <c r="BK17" s="20" t="inlineStr">
        <is>
          <t>N/A</t>
        </is>
      </c>
      <c r="BL17" s="20" t="inlineStr">
        <is>
          <t>N/A</t>
        </is>
      </c>
      <c r="BM17" s="20" t="inlineStr">
        <is>
          <t>N/A</t>
        </is>
      </c>
      <c r="BN17" s="20" t="inlineStr">
        <is>
          <t>N/A</t>
        </is>
      </c>
      <c r="BO17" s="20" t="inlineStr">
        <is>
          <t>N/A</t>
        </is>
      </c>
      <c r="BP17" s="20" t="inlineStr">
        <is>
          <t>N/A</t>
        </is>
      </c>
      <c r="BQ17" s="20" t="inlineStr">
        <is>
          <t>Yes</t>
        </is>
      </c>
      <c r="BS17" s="20" t="inlineStr">
        <is>
          <t>N/A</t>
        </is>
      </c>
      <c r="BT17" s="20" t="inlineStr">
        <is>
          <t>N/A</t>
        </is>
      </c>
      <c r="BU17" s="20" t="inlineStr">
        <is>
          <t>N/A</t>
        </is>
      </c>
      <c r="BV17" s="20" t="inlineStr">
        <is>
          <t>N/A</t>
        </is>
      </c>
      <c r="BW17" s="20" t="inlineStr">
        <is>
          <t>N/A</t>
        </is>
      </c>
      <c r="BX17" s="20" t="inlineStr">
        <is>
          <t>N/A</t>
        </is>
      </c>
      <c r="BY17" s="20" t="inlineStr">
        <is>
          <t>N/A</t>
        </is>
      </c>
      <c r="BZ17" s="20" t="inlineStr">
        <is>
          <t>Yes</t>
        </is>
      </c>
      <c r="CC17" s="20" t="inlineStr">
        <is>
          <t>N/A</t>
        </is>
      </c>
      <c r="CD17" s="20" t="inlineStr">
        <is>
          <t>N/A</t>
        </is>
      </c>
      <c r="CE17" s="20" t="inlineStr">
        <is>
          <t>N/A</t>
        </is>
      </c>
      <c r="CF17" s="20" t="inlineStr">
        <is>
          <t>N/A</t>
        </is>
      </c>
      <c r="CG17" s="20" t="inlineStr">
        <is>
          <t>N/A</t>
        </is>
      </c>
      <c r="CH17" s="20" t="inlineStr">
        <is>
          <t>N/A</t>
        </is>
      </c>
      <c r="CI17" s="20" t="inlineStr">
        <is>
          <t>N/A</t>
        </is>
      </c>
      <c r="CK17" s="20" t="inlineStr">
        <is>
          <t>N/A</t>
        </is>
      </c>
      <c r="CL17" s="20" t="inlineStr">
        <is>
          <t>N/A</t>
        </is>
      </c>
      <c r="CM17" s="20" t="inlineStr">
        <is>
          <t>N/A</t>
        </is>
      </c>
      <c r="CN17" s="20" t="inlineStr">
        <is>
          <t>N/A</t>
        </is>
      </c>
      <c r="CP17" s="20" t="inlineStr">
        <is>
          <t>N/A</t>
        </is>
      </c>
      <c r="CQ17" s="20" t="inlineStr">
        <is>
          <t>N/A</t>
        </is>
      </c>
      <c r="CR17" s="20" t="inlineStr">
        <is>
          <t>N/A</t>
        </is>
      </c>
      <c r="CS17" s="20" t="inlineStr">
        <is>
          <t>N/A</t>
        </is>
      </c>
      <c r="CT17" s="20" t="inlineStr">
        <is>
          <t>N/A</t>
        </is>
      </c>
      <c r="CV17" s="20" t="inlineStr">
        <is>
          <t>N/A</t>
        </is>
      </c>
      <c r="CW17" s="20" t="inlineStr">
        <is>
          <t>N/A</t>
        </is>
      </c>
      <c r="CX17" s="20" t="inlineStr">
        <is>
          <t>N/A</t>
        </is>
      </c>
      <c r="CY17" s="20" t="inlineStr">
        <is>
          <t>N/A</t>
        </is>
      </c>
      <c r="CZ17" s="20" t="inlineStr">
        <is>
          <t>N/A</t>
        </is>
      </c>
      <c r="DB17" s="20" t="inlineStr">
        <is>
          <t>N/A</t>
        </is>
      </c>
      <c r="DC17" s="20" t="inlineStr">
        <is>
          <t>N/A</t>
        </is>
      </c>
      <c r="DD17" s="20" t="inlineStr">
        <is>
          <t>N/A</t>
        </is>
      </c>
      <c r="DE17" s="20" t="inlineStr">
        <is>
          <t>N/A</t>
        </is>
      </c>
      <c r="DF17" s="20" t="inlineStr">
        <is>
          <t>N/A</t>
        </is>
      </c>
      <c r="DH17" s="20" t="inlineStr">
        <is>
          <t>N/A</t>
        </is>
      </c>
      <c r="DI17" s="20" t="inlineStr">
        <is>
          <t>N/A</t>
        </is>
      </c>
      <c r="DJ17" s="20" t="inlineStr">
        <is>
          <t>N/A</t>
        </is>
      </c>
      <c r="DK17" s="20" t="inlineStr">
        <is>
          <t>N/A</t>
        </is>
      </c>
      <c r="DL17" s="20" t="inlineStr">
        <is>
          <t>N/A</t>
        </is>
      </c>
      <c r="DM17" s="20" t="inlineStr">
        <is>
          <t>N/A</t>
        </is>
      </c>
      <c r="DN17" s="20" t="inlineStr">
        <is>
          <t>N/A</t>
        </is>
      </c>
      <c r="DO17" s="20" t="inlineStr">
        <is>
          <t>N/A</t>
        </is>
      </c>
      <c r="DP17" s="20" t="inlineStr">
        <is>
          <t>N/A</t>
        </is>
      </c>
      <c r="DR17" s="20" t="inlineStr">
        <is>
          <t>N/A</t>
        </is>
      </c>
      <c r="DS17" s="20" t="inlineStr">
        <is>
          <t>N/A</t>
        </is>
      </c>
      <c r="DT17" s="20" t="inlineStr">
        <is>
          <t>N/A</t>
        </is>
      </c>
      <c r="DU17" s="20" t="inlineStr">
        <is>
          <t>N/A</t>
        </is>
      </c>
      <c r="DV17" s="20" t="inlineStr">
        <is>
          <t>N/A</t>
        </is>
      </c>
      <c r="DW17" s="20" t="inlineStr">
        <is>
          <t>N/A</t>
        </is>
      </c>
      <c r="DZ17" s="20" t="inlineStr">
        <is>
          <t>N/A</t>
        </is>
      </c>
      <c r="EA17" s="20" t="inlineStr">
        <is>
          <t>N/A</t>
        </is>
      </c>
      <c r="EB17" s="20" t="inlineStr">
        <is>
          <t>N/A</t>
        </is>
      </c>
      <c r="EC17" s="20" t="inlineStr">
        <is>
          <t>N/A</t>
        </is>
      </c>
      <c r="ED17" s="20" t="inlineStr">
        <is>
          <t>N/A</t>
        </is>
      </c>
      <c r="EE17" s="20" t="inlineStr">
        <is>
          <t>N/A</t>
        </is>
      </c>
      <c r="EG17" s="20" t="inlineStr">
        <is>
          <t>N/A</t>
        </is>
      </c>
      <c r="EH17" s="20" t="inlineStr">
        <is>
          <t>N/A</t>
        </is>
      </c>
      <c r="EI17" s="20" t="inlineStr">
        <is>
          <t>N/A</t>
        </is>
      </c>
      <c r="EJ17" s="20" t="inlineStr">
        <is>
          <t>N/A</t>
        </is>
      </c>
      <c r="EK17" s="20" t="inlineStr">
        <is>
          <t>N/A</t>
        </is>
      </c>
      <c r="EL17" s="20" t="inlineStr">
        <is>
          <t>N/A</t>
        </is>
      </c>
      <c r="EM17" s="20" t="inlineStr">
        <is>
          <t>N/A</t>
        </is>
      </c>
      <c r="EN17" s="20" t="inlineStr">
        <is>
          <t>N/A</t>
        </is>
      </c>
      <c r="EO17" s="20" t="inlineStr">
        <is>
          <t>N/A</t>
        </is>
      </c>
      <c r="EP17" s="20" t="inlineStr">
        <is>
          <t>N/A</t>
        </is>
      </c>
      <c r="EQ17" s="20" t="inlineStr">
        <is>
          <t>N/A</t>
        </is>
      </c>
      <c r="ER17" s="20" t="inlineStr">
        <is>
          <t>N/A</t>
        </is>
      </c>
      <c r="ES17" s="20" t="inlineStr">
        <is>
          <t>N/A</t>
        </is>
      </c>
      <c r="ET17" s="20" t="inlineStr">
        <is>
          <t>N/A</t>
        </is>
      </c>
      <c r="EU17" s="20" t="inlineStr">
        <is>
          <t>N/A</t>
        </is>
      </c>
      <c r="EV17" s="20" t="inlineStr">
        <is>
          <t>N/A</t>
        </is>
      </c>
      <c r="EW17" s="20" t="inlineStr">
        <is>
          <t>N/A</t>
        </is>
      </c>
      <c r="EX17" s="20" t="inlineStr">
        <is>
          <t>N/A</t>
        </is>
      </c>
      <c r="EY17" s="20" t="inlineStr">
        <is>
          <t>N/A</t>
        </is>
      </c>
      <c r="FA17" s="20" t="inlineStr">
        <is>
          <t>N/A</t>
        </is>
      </c>
      <c r="FB17" s="20" t="inlineStr">
        <is>
          <t>N/A</t>
        </is>
      </c>
      <c r="FC17" s="20" t="inlineStr">
        <is>
          <t>N/A</t>
        </is>
      </c>
      <c r="FD17" s="20" t="inlineStr">
        <is>
          <t>N/A</t>
        </is>
      </c>
      <c r="FE17" s="20" t="inlineStr">
        <is>
          <t>N/A</t>
        </is>
      </c>
      <c r="FF17" s="20" t="inlineStr">
        <is>
          <t>N/A</t>
        </is>
      </c>
      <c r="FG17" s="20" t="inlineStr">
        <is>
          <t>N/A</t>
        </is>
      </c>
      <c r="FH17" s="20" t="inlineStr">
        <is>
          <t>N/A</t>
        </is>
      </c>
      <c r="FI17" s="20" t="inlineStr">
        <is>
          <t>N/A</t>
        </is>
      </c>
      <c r="FK17" s="20" t="inlineStr">
        <is>
          <t>N/A</t>
        </is>
      </c>
      <c r="FL17" s="20" t="inlineStr">
        <is>
          <t>N/A</t>
        </is>
      </c>
      <c r="FM17" s="20" t="inlineStr">
        <is>
          <t>N/A</t>
        </is>
      </c>
      <c r="FN17" s="20" t="inlineStr">
        <is>
          <t>N/A</t>
        </is>
      </c>
      <c r="FO17" s="20" t="inlineStr">
        <is>
          <t>N/A</t>
        </is>
      </c>
      <c r="FP17" s="20" t="inlineStr">
        <is>
          <t>N/A</t>
        </is>
      </c>
      <c r="FQ17" s="20" t="inlineStr">
        <is>
          <t>N/A</t>
        </is>
      </c>
      <c r="FS17" s="20" t="inlineStr">
        <is>
          <t>N/A</t>
        </is>
      </c>
      <c r="FT17" s="20" t="inlineStr">
        <is>
          <t>N/A</t>
        </is>
      </c>
      <c r="FU17" s="20" t="inlineStr">
        <is>
          <t>N/A</t>
        </is>
      </c>
      <c r="FV17" s="20" t="inlineStr">
        <is>
          <t>N/A</t>
        </is>
      </c>
      <c r="FW17" s="20" t="inlineStr">
        <is>
          <t>N/A</t>
        </is>
      </c>
      <c r="FX17" s="20" t="inlineStr">
        <is>
          <t>N/A</t>
        </is>
      </c>
      <c r="FY17" s="20" t="inlineStr">
        <is>
          <t>N/A</t>
        </is>
      </c>
      <c r="FZ17" s="20" t="inlineStr">
        <is>
          <t>N/A</t>
        </is>
      </c>
      <c r="GA17" s="20" t="inlineStr">
        <is>
          <t>N/A</t>
        </is>
      </c>
      <c r="GB17" s="20" t="inlineStr">
        <is>
          <t>N/A</t>
        </is>
      </c>
      <c r="GC17" s="20" t="inlineStr">
        <is>
          <t>N/A</t>
        </is>
      </c>
      <c r="GD17" s="20" t="inlineStr">
        <is>
          <t>N/A</t>
        </is>
      </c>
      <c r="GE17" s="20" t="inlineStr">
        <is>
          <t>N/A</t>
        </is>
      </c>
      <c r="GF17" s="20" t="inlineStr">
        <is>
          <t>N/A</t>
        </is>
      </c>
      <c r="GG17" s="20" t="inlineStr">
        <is>
          <t>N/A</t>
        </is>
      </c>
    </row>
    <row r="18" ht="15" customHeight="1" s="21">
      <c r="A18" s="20" t="n">
        <v>17</v>
      </c>
      <c r="B18" s="20" t="inlineStr">
        <is>
          <t>1980-01-01 00:00:00</t>
        </is>
      </c>
      <c r="C18" s="20" t="n">
        <v>25</v>
      </c>
      <c r="D18" s="20" t="inlineStr">
        <is>
          <t>en</t>
        </is>
      </c>
      <c r="E18" s="20" t="n">
        <v>716547709</v>
      </c>
      <c r="F18" s="20" t="inlineStr">
        <is>
          <t>Research staff (postdocs, research software engineers)</t>
        </is>
      </c>
      <c r="G18" s="20" t="inlineStr">
        <is>
          <t>Research Computing</t>
        </is>
      </c>
      <c r="H18" s="20" t="inlineStr">
        <is>
          <t>Critical</t>
        </is>
      </c>
      <c r="I18" s="20" t="inlineStr">
        <is>
          <t>N/A</t>
        </is>
      </c>
      <c r="J18" s="20" t="inlineStr">
        <is>
          <t>N/A</t>
        </is>
      </c>
      <c r="K18" s="20" t="inlineStr">
        <is>
          <t>N/A</t>
        </is>
      </c>
      <c r="L18" s="20" t="inlineStr">
        <is>
          <t>N/A</t>
        </is>
      </c>
      <c r="M18" s="20" t="inlineStr">
        <is>
          <t>N/A</t>
        </is>
      </c>
      <c r="N18" s="20" t="inlineStr">
        <is>
          <t>N/A</t>
        </is>
      </c>
      <c r="O18" s="20" t="inlineStr">
        <is>
          <t>N/A</t>
        </is>
      </c>
      <c r="P18" s="20" t="inlineStr">
        <is>
          <t>Yes</t>
        </is>
      </c>
      <c r="R18" s="20" t="inlineStr">
        <is>
          <t>Very confident</t>
        </is>
      </c>
      <c r="T18" s="20" t="inlineStr">
        <is>
          <t>N/A</t>
        </is>
      </c>
      <c r="U18" s="20" t="inlineStr">
        <is>
          <t>N/A</t>
        </is>
      </c>
      <c r="V18" s="20" t="inlineStr">
        <is>
          <t>N/A</t>
        </is>
      </c>
      <c r="W18" s="20" t="inlineStr">
        <is>
          <t>N/A</t>
        </is>
      </c>
      <c r="X18" s="20" t="inlineStr">
        <is>
          <t>Yes</t>
        </is>
      </c>
      <c r="Z18" s="20" t="inlineStr">
        <is>
          <t>N/A</t>
        </is>
      </c>
      <c r="AA18" s="20" t="inlineStr">
        <is>
          <t>N/A</t>
        </is>
      </c>
      <c r="AB18" s="20" t="inlineStr">
        <is>
          <t>N/A</t>
        </is>
      </c>
      <c r="AC18" s="20" t="inlineStr">
        <is>
          <t>N/A</t>
        </is>
      </c>
      <c r="AD18" s="20" t="inlineStr">
        <is>
          <t>N/A</t>
        </is>
      </c>
      <c r="AE18" s="20" t="inlineStr">
        <is>
          <t>N/A</t>
        </is>
      </c>
      <c r="AF18" s="20" t="inlineStr">
        <is>
          <t>Yes</t>
        </is>
      </c>
      <c r="AH18" s="20" t="inlineStr">
        <is>
          <t>N/A</t>
        </is>
      </c>
      <c r="AI18" s="20" t="inlineStr">
        <is>
          <t>N/A</t>
        </is>
      </c>
      <c r="AJ18" s="20" t="inlineStr">
        <is>
          <t>N/A</t>
        </is>
      </c>
      <c r="AK18" s="20" t="inlineStr">
        <is>
          <t>Yes</t>
        </is>
      </c>
      <c r="AM18" s="20" t="inlineStr">
        <is>
          <t>N/A</t>
        </is>
      </c>
      <c r="AN18" s="20" t="inlineStr">
        <is>
          <t>N/A</t>
        </is>
      </c>
      <c r="AO18" s="20" t="inlineStr">
        <is>
          <t>N/A</t>
        </is>
      </c>
      <c r="AP18" s="20" t="inlineStr">
        <is>
          <t>N/A</t>
        </is>
      </c>
      <c r="AQ18" s="20" t="inlineStr">
        <is>
          <t>N/A</t>
        </is>
      </c>
      <c r="AR18" s="20" t="inlineStr">
        <is>
          <t>N/A</t>
        </is>
      </c>
      <c r="AS18" s="20" t="inlineStr">
        <is>
          <t>Yes</t>
        </is>
      </c>
      <c r="AU18" s="20" t="inlineStr">
        <is>
          <t>N/A</t>
        </is>
      </c>
      <c r="AV18" s="20" t="inlineStr">
        <is>
          <t>N/A</t>
        </is>
      </c>
      <c r="AW18" s="20" t="inlineStr">
        <is>
          <t>N/A</t>
        </is>
      </c>
      <c r="AX18" s="20" t="inlineStr">
        <is>
          <t>N/A</t>
        </is>
      </c>
      <c r="AY18" s="20" t="inlineStr">
        <is>
          <t>N/A</t>
        </is>
      </c>
      <c r="AZ18" s="20" t="inlineStr">
        <is>
          <t>Yes</t>
        </is>
      </c>
      <c r="BB18" s="20" t="inlineStr">
        <is>
          <t>N/A</t>
        </is>
      </c>
      <c r="BC18" s="20" t="inlineStr">
        <is>
          <t>N/A</t>
        </is>
      </c>
      <c r="BD18" s="20" t="inlineStr">
        <is>
          <t>N/A</t>
        </is>
      </c>
      <c r="BE18" s="20" t="inlineStr">
        <is>
          <t>N/A</t>
        </is>
      </c>
      <c r="BF18" s="20" t="inlineStr">
        <is>
          <t>N/A</t>
        </is>
      </c>
      <c r="BG18" s="20" t="inlineStr">
        <is>
          <t>Yes</t>
        </is>
      </c>
      <c r="BI18" s="20" t="inlineStr">
        <is>
          <t>N/A</t>
        </is>
      </c>
      <c r="BJ18" s="20" t="inlineStr">
        <is>
          <t>N/A</t>
        </is>
      </c>
      <c r="BK18" s="20" t="inlineStr">
        <is>
          <t>N/A</t>
        </is>
      </c>
      <c r="BL18" s="20" t="inlineStr">
        <is>
          <t>N/A</t>
        </is>
      </c>
      <c r="BM18" s="20" t="inlineStr">
        <is>
          <t>N/A</t>
        </is>
      </c>
      <c r="BN18" s="20" t="inlineStr">
        <is>
          <t>N/A</t>
        </is>
      </c>
      <c r="BO18" s="20" t="inlineStr">
        <is>
          <t>N/A</t>
        </is>
      </c>
      <c r="BP18" s="20" t="inlineStr">
        <is>
          <t>N/A</t>
        </is>
      </c>
      <c r="BQ18" s="20" t="inlineStr">
        <is>
          <t>Yes</t>
        </is>
      </c>
      <c r="BS18" s="20" t="inlineStr">
        <is>
          <t>N/A</t>
        </is>
      </c>
      <c r="BT18" s="20" t="inlineStr">
        <is>
          <t>N/A</t>
        </is>
      </c>
      <c r="BU18" s="20" t="inlineStr">
        <is>
          <t>N/A</t>
        </is>
      </c>
      <c r="BV18" s="20" t="inlineStr">
        <is>
          <t>N/A</t>
        </is>
      </c>
      <c r="BW18" s="20" t="inlineStr">
        <is>
          <t>N/A</t>
        </is>
      </c>
      <c r="BX18" s="20" t="inlineStr">
        <is>
          <t>N/A</t>
        </is>
      </c>
      <c r="BY18" s="20" t="inlineStr">
        <is>
          <t>N/A</t>
        </is>
      </c>
      <c r="BZ18" s="20" t="inlineStr">
        <is>
          <t>Yes</t>
        </is>
      </c>
      <c r="CC18" s="20" t="inlineStr">
        <is>
          <t>N/A</t>
        </is>
      </c>
      <c r="CD18" s="20" t="inlineStr">
        <is>
          <t>N/A</t>
        </is>
      </c>
      <c r="CE18" s="20" t="inlineStr">
        <is>
          <t>N/A</t>
        </is>
      </c>
      <c r="CF18" s="20" t="inlineStr">
        <is>
          <t>N/A</t>
        </is>
      </c>
      <c r="CG18" s="20" t="inlineStr">
        <is>
          <t>N/A</t>
        </is>
      </c>
      <c r="CH18" s="20" t="inlineStr">
        <is>
          <t>N/A</t>
        </is>
      </c>
      <c r="CI18" s="20" t="inlineStr">
        <is>
          <t>Yes</t>
        </is>
      </c>
      <c r="CK18" s="20" t="inlineStr">
        <is>
          <t>N/A</t>
        </is>
      </c>
      <c r="CL18" s="20" t="inlineStr">
        <is>
          <t>N/A</t>
        </is>
      </c>
      <c r="CM18" s="20" t="inlineStr">
        <is>
          <t>N/A</t>
        </is>
      </c>
      <c r="CN18" s="20" t="inlineStr">
        <is>
          <t>Yes</t>
        </is>
      </c>
      <c r="CP18" s="20" t="inlineStr">
        <is>
          <t>N/A</t>
        </is>
      </c>
      <c r="CQ18" s="20" t="inlineStr">
        <is>
          <t>N/A</t>
        </is>
      </c>
      <c r="CR18" s="20" t="inlineStr">
        <is>
          <t>N/A</t>
        </is>
      </c>
      <c r="CS18" s="20" t="inlineStr">
        <is>
          <t>N/A</t>
        </is>
      </c>
      <c r="CT18" s="20" t="inlineStr">
        <is>
          <t>Yes</t>
        </is>
      </c>
      <c r="CV18" s="20" t="inlineStr">
        <is>
          <t>N/A</t>
        </is>
      </c>
      <c r="CW18" s="20" t="inlineStr">
        <is>
          <t>N/A</t>
        </is>
      </c>
      <c r="CX18" s="20" t="inlineStr">
        <is>
          <t>N/A</t>
        </is>
      </c>
      <c r="CY18" s="20" t="inlineStr">
        <is>
          <t>N/A</t>
        </is>
      </c>
      <c r="CZ18" s="20" t="inlineStr">
        <is>
          <t>Yes</t>
        </is>
      </c>
      <c r="DB18" s="20" t="inlineStr">
        <is>
          <t>N/A</t>
        </is>
      </c>
      <c r="DC18" s="20" t="inlineStr">
        <is>
          <t>N/A</t>
        </is>
      </c>
      <c r="DD18" s="20" t="inlineStr">
        <is>
          <t>N/A</t>
        </is>
      </c>
      <c r="DE18" s="20" t="inlineStr">
        <is>
          <t>N/A</t>
        </is>
      </c>
      <c r="DF18" s="20" t="inlineStr">
        <is>
          <t>Yes</t>
        </is>
      </c>
      <c r="DH18" s="20" t="inlineStr">
        <is>
          <t>N/A</t>
        </is>
      </c>
      <c r="DI18" s="20" t="inlineStr">
        <is>
          <t>N/A</t>
        </is>
      </c>
      <c r="DJ18" s="20" t="inlineStr">
        <is>
          <t>N/A</t>
        </is>
      </c>
      <c r="DK18" s="20" t="inlineStr">
        <is>
          <t>N/A</t>
        </is>
      </c>
      <c r="DL18" s="20" t="inlineStr">
        <is>
          <t>N/A</t>
        </is>
      </c>
      <c r="DM18" s="20" t="inlineStr">
        <is>
          <t>N/A</t>
        </is>
      </c>
      <c r="DN18" s="20" t="inlineStr">
        <is>
          <t>N/A</t>
        </is>
      </c>
      <c r="DO18" s="20" t="inlineStr">
        <is>
          <t>N/A</t>
        </is>
      </c>
      <c r="DP18" s="20" t="inlineStr">
        <is>
          <t>Yes</t>
        </is>
      </c>
      <c r="DR18" s="20" t="inlineStr">
        <is>
          <t>N/A</t>
        </is>
      </c>
      <c r="DS18" s="20" t="inlineStr">
        <is>
          <t>N/A</t>
        </is>
      </c>
      <c r="DT18" s="20" t="inlineStr">
        <is>
          <t>N/A</t>
        </is>
      </c>
      <c r="DU18" s="20" t="inlineStr">
        <is>
          <t>N/A</t>
        </is>
      </c>
      <c r="DV18" s="20" t="inlineStr">
        <is>
          <t>N/A</t>
        </is>
      </c>
      <c r="DW18" s="20" t="inlineStr">
        <is>
          <t>Yes</t>
        </is>
      </c>
      <c r="DZ18" s="20" t="inlineStr">
        <is>
          <t>Yes</t>
        </is>
      </c>
      <c r="EA18" s="20" t="inlineStr">
        <is>
          <t>N/A</t>
        </is>
      </c>
      <c r="EB18" s="20" t="inlineStr">
        <is>
          <t>N/A</t>
        </is>
      </c>
      <c r="EC18" s="20" t="inlineStr">
        <is>
          <t>N/A</t>
        </is>
      </c>
      <c r="ED18" s="20" t="inlineStr">
        <is>
          <t>N/A</t>
        </is>
      </c>
      <c r="EE18" s="20" t="inlineStr">
        <is>
          <t>Yes</t>
        </is>
      </c>
      <c r="EG18" s="20" t="inlineStr">
        <is>
          <t>N/A</t>
        </is>
      </c>
      <c r="EH18" s="20" t="inlineStr">
        <is>
          <t>N/A</t>
        </is>
      </c>
      <c r="EI18" s="20" t="inlineStr">
        <is>
          <t>N/A</t>
        </is>
      </c>
      <c r="EJ18" s="20" t="inlineStr">
        <is>
          <t>N/A</t>
        </is>
      </c>
      <c r="EK18" s="20" t="inlineStr">
        <is>
          <t>N/A</t>
        </is>
      </c>
      <c r="EL18" s="20" t="inlineStr">
        <is>
          <t>N/A</t>
        </is>
      </c>
      <c r="EM18" s="20" t="inlineStr">
        <is>
          <t>N/A</t>
        </is>
      </c>
      <c r="EN18" s="20" t="inlineStr">
        <is>
          <t>N/A</t>
        </is>
      </c>
      <c r="EO18" s="20" t="inlineStr">
        <is>
          <t>Yes</t>
        </is>
      </c>
      <c r="EP18" s="20" t="inlineStr">
        <is>
          <t>N/A</t>
        </is>
      </c>
      <c r="EQ18" s="20" t="inlineStr">
        <is>
          <t>N/A</t>
        </is>
      </c>
      <c r="ER18" s="20" t="inlineStr">
        <is>
          <t>N/A</t>
        </is>
      </c>
      <c r="ES18" s="20" t="inlineStr">
        <is>
          <t>N/A</t>
        </is>
      </c>
      <c r="ET18" s="20" t="inlineStr">
        <is>
          <t>N/A</t>
        </is>
      </c>
      <c r="EU18" s="20" t="inlineStr">
        <is>
          <t>N/A</t>
        </is>
      </c>
      <c r="EV18" s="20" t="inlineStr">
        <is>
          <t>N/A</t>
        </is>
      </c>
      <c r="EW18" s="20" t="inlineStr">
        <is>
          <t>N/A</t>
        </is>
      </c>
      <c r="EX18" s="20" t="inlineStr">
        <is>
          <t>N/A</t>
        </is>
      </c>
      <c r="EY18" s="20" t="inlineStr">
        <is>
          <t>Yes</t>
        </is>
      </c>
      <c r="FA18" s="20" t="inlineStr">
        <is>
          <t>N/A</t>
        </is>
      </c>
      <c r="FB18" s="20" t="inlineStr">
        <is>
          <t>N/A</t>
        </is>
      </c>
      <c r="FC18" s="20" t="inlineStr">
        <is>
          <t>N/A</t>
        </is>
      </c>
      <c r="FD18" s="20" t="inlineStr">
        <is>
          <t>N/A</t>
        </is>
      </c>
      <c r="FE18" s="20" t="inlineStr">
        <is>
          <t>N/A</t>
        </is>
      </c>
      <c r="FF18" s="20" t="inlineStr">
        <is>
          <t>N/A</t>
        </is>
      </c>
      <c r="FG18" s="20" t="inlineStr">
        <is>
          <t>N/A</t>
        </is>
      </c>
      <c r="FH18" s="20" t="inlineStr">
        <is>
          <t>N/A</t>
        </is>
      </c>
      <c r="FI18" s="20" t="inlineStr">
        <is>
          <t>Yes</t>
        </is>
      </c>
      <c r="FK18" s="20" t="inlineStr">
        <is>
          <t>N/A</t>
        </is>
      </c>
      <c r="FL18" s="20" t="inlineStr">
        <is>
          <t>N/A</t>
        </is>
      </c>
      <c r="FM18" s="20" t="inlineStr">
        <is>
          <t>N/A</t>
        </is>
      </c>
      <c r="FN18" s="20" t="inlineStr">
        <is>
          <t>N/A</t>
        </is>
      </c>
      <c r="FO18" s="20" t="inlineStr">
        <is>
          <t>N/A</t>
        </is>
      </c>
      <c r="FP18" s="20" t="inlineStr">
        <is>
          <t>N/A</t>
        </is>
      </c>
      <c r="FQ18" s="20" t="inlineStr">
        <is>
          <t>Yes</t>
        </is>
      </c>
      <c r="FS18" s="20" t="inlineStr">
        <is>
          <t>N/A</t>
        </is>
      </c>
      <c r="FT18" s="20" t="inlineStr">
        <is>
          <t>N/A</t>
        </is>
      </c>
      <c r="FU18" s="20" t="inlineStr">
        <is>
          <t>N/A</t>
        </is>
      </c>
      <c r="FV18" s="20" t="inlineStr">
        <is>
          <t>N/A</t>
        </is>
      </c>
      <c r="FW18" s="20" t="inlineStr">
        <is>
          <t>N/A</t>
        </is>
      </c>
      <c r="FX18" s="20" t="inlineStr">
        <is>
          <t>N/A</t>
        </is>
      </c>
      <c r="FY18" s="20" t="inlineStr">
        <is>
          <t>N/A</t>
        </is>
      </c>
      <c r="FZ18" s="20" t="inlineStr">
        <is>
          <t>N/A</t>
        </is>
      </c>
      <c r="GA18" s="20" t="inlineStr">
        <is>
          <t>N/A</t>
        </is>
      </c>
      <c r="GB18" s="20" t="inlineStr">
        <is>
          <t>N/A</t>
        </is>
      </c>
      <c r="GC18" s="20" t="inlineStr">
        <is>
          <t>N/A</t>
        </is>
      </c>
      <c r="GD18" s="20" t="inlineStr">
        <is>
          <t>N/A</t>
        </is>
      </c>
      <c r="GE18" s="20" t="inlineStr">
        <is>
          <t>N/A</t>
        </is>
      </c>
      <c r="GF18" s="20" t="inlineStr">
        <is>
          <t>N/A</t>
        </is>
      </c>
      <c r="GG18" s="20" t="inlineStr">
        <is>
          <t>Yes</t>
        </is>
      </c>
      <c r="GH18" s="20" t="inlineStr">
        <is>
          <t>Research software tools and libraries</t>
        </is>
      </c>
      <c r="GI18" s="20" t="inlineStr">
        <is>
          <t>Survey covers all key areas well.</t>
        </is>
      </c>
    </row>
    <row r="19" ht="15" customHeight="1" s="21">
      <c r="A19" s="20" t="n">
        <v>18</v>
      </c>
      <c r="B19" s="20" t="inlineStr">
        <is>
          <t>1980-01-01 00:00:00</t>
        </is>
      </c>
      <c r="C19" s="20" t="n">
        <v>25</v>
      </c>
      <c r="D19" s="20" t="inlineStr">
        <is>
          <t>en</t>
        </is>
      </c>
      <c r="E19" s="20" t="n">
        <v>196341784</v>
      </c>
      <c r="F19" s="20" t="inlineStr">
        <is>
          <t>Professional / Support staff (including IT and library)</t>
        </is>
      </c>
      <c r="G19" s="20" t="inlineStr">
        <is>
          <t>Library Services</t>
        </is>
      </c>
      <c r="H19" s="20" t="inlineStr">
        <is>
          <t>Important</t>
        </is>
      </c>
      <c r="I19" s="20" t="inlineStr">
        <is>
          <t>N/A</t>
        </is>
      </c>
      <c r="J19" s="20" t="inlineStr">
        <is>
          <t>N/A</t>
        </is>
      </c>
      <c r="K19" s="20" t="inlineStr">
        <is>
          <t>N/A</t>
        </is>
      </c>
      <c r="L19" s="20" t="inlineStr">
        <is>
          <t>N/A</t>
        </is>
      </c>
      <c r="M19" s="20" t="inlineStr">
        <is>
          <t>N/A</t>
        </is>
      </c>
      <c r="N19" s="20" t="inlineStr">
        <is>
          <t>N/A</t>
        </is>
      </c>
      <c r="O19" s="20" t="inlineStr">
        <is>
          <t>N/A</t>
        </is>
      </c>
      <c r="P19" s="20" t="inlineStr">
        <is>
          <t>Yes</t>
        </is>
      </c>
      <c r="R19" s="20" t="inlineStr">
        <is>
          <t>Somewhat confident</t>
        </is>
      </c>
      <c r="T19" s="20" t="inlineStr">
        <is>
          <t>N/A</t>
        </is>
      </c>
      <c r="U19" s="20" t="inlineStr">
        <is>
          <t>N/A</t>
        </is>
      </c>
      <c r="V19" s="20" t="inlineStr">
        <is>
          <t>N/A</t>
        </is>
      </c>
      <c r="W19" s="20" t="inlineStr">
        <is>
          <t>N/A</t>
        </is>
      </c>
      <c r="X19" s="20" t="inlineStr">
        <is>
          <t>Yes</t>
        </is>
      </c>
      <c r="Z19" s="20" t="inlineStr">
        <is>
          <t>N/A</t>
        </is>
      </c>
      <c r="AA19" s="20" t="inlineStr">
        <is>
          <t>N/A</t>
        </is>
      </c>
      <c r="AB19" s="20" t="inlineStr">
        <is>
          <t>N/A</t>
        </is>
      </c>
      <c r="AC19" s="20" t="inlineStr">
        <is>
          <t>N/A</t>
        </is>
      </c>
      <c r="AD19" s="20" t="inlineStr">
        <is>
          <t>N/A</t>
        </is>
      </c>
      <c r="AE19" s="20" t="inlineStr">
        <is>
          <t>N/A</t>
        </is>
      </c>
      <c r="AF19" s="20" t="inlineStr">
        <is>
          <t>Yes</t>
        </is>
      </c>
      <c r="AH19" s="20" t="inlineStr">
        <is>
          <t>N/A</t>
        </is>
      </c>
      <c r="AI19" s="20" t="inlineStr">
        <is>
          <t>N/A</t>
        </is>
      </c>
      <c r="AJ19" s="20" t="inlineStr">
        <is>
          <t>N/A</t>
        </is>
      </c>
      <c r="AK19" s="20" t="inlineStr">
        <is>
          <t>Yes</t>
        </is>
      </c>
      <c r="AM19" s="20" t="inlineStr">
        <is>
          <t>N/A</t>
        </is>
      </c>
      <c r="AN19" s="20" t="inlineStr">
        <is>
          <t>N/A</t>
        </is>
      </c>
      <c r="AO19" s="20" t="inlineStr">
        <is>
          <t>N/A</t>
        </is>
      </c>
      <c r="AP19" s="20" t="inlineStr">
        <is>
          <t>N/A</t>
        </is>
      </c>
      <c r="AQ19" s="20" t="inlineStr">
        <is>
          <t>N/A</t>
        </is>
      </c>
      <c r="AR19" s="20" t="inlineStr">
        <is>
          <t>N/A</t>
        </is>
      </c>
      <c r="AS19" s="20" t="inlineStr">
        <is>
          <t>Yes</t>
        </is>
      </c>
      <c r="AU19" s="20" t="inlineStr">
        <is>
          <t>N/A</t>
        </is>
      </c>
      <c r="AV19" s="20" t="inlineStr">
        <is>
          <t>N/A</t>
        </is>
      </c>
      <c r="AW19" s="20" t="inlineStr">
        <is>
          <t>N/A</t>
        </is>
      </c>
      <c r="AX19" s="20" t="inlineStr">
        <is>
          <t>N/A</t>
        </is>
      </c>
      <c r="AY19" s="20" t="inlineStr">
        <is>
          <t>N/A</t>
        </is>
      </c>
      <c r="AZ19" s="20" t="inlineStr">
        <is>
          <t>Yes</t>
        </is>
      </c>
      <c r="BB19" s="20" t="inlineStr">
        <is>
          <t>N/A</t>
        </is>
      </c>
      <c r="BC19" s="20" t="inlineStr">
        <is>
          <t>N/A</t>
        </is>
      </c>
      <c r="BD19" s="20" t="inlineStr">
        <is>
          <t>N/A</t>
        </is>
      </c>
      <c r="BE19" s="20" t="inlineStr">
        <is>
          <t>N/A</t>
        </is>
      </c>
      <c r="BF19" s="20" t="inlineStr">
        <is>
          <t>N/A</t>
        </is>
      </c>
      <c r="BG19" s="20" t="inlineStr">
        <is>
          <t>Yes</t>
        </is>
      </c>
      <c r="BI19" s="20" t="inlineStr">
        <is>
          <t>N/A</t>
        </is>
      </c>
      <c r="BJ19" s="20" t="inlineStr">
        <is>
          <t>N/A</t>
        </is>
      </c>
      <c r="BK19" s="20" t="inlineStr">
        <is>
          <t>N/A</t>
        </is>
      </c>
      <c r="BL19" s="20" t="inlineStr">
        <is>
          <t>N/A</t>
        </is>
      </c>
      <c r="BM19" s="20" t="inlineStr">
        <is>
          <t>N/A</t>
        </is>
      </c>
      <c r="BN19" s="20" t="inlineStr">
        <is>
          <t>N/A</t>
        </is>
      </c>
      <c r="BO19" s="20" t="inlineStr">
        <is>
          <t>N/A</t>
        </is>
      </c>
      <c r="BP19" s="20" t="inlineStr">
        <is>
          <t>N/A</t>
        </is>
      </c>
      <c r="BQ19" s="20" t="inlineStr">
        <is>
          <t>Yes</t>
        </is>
      </c>
      <c r="BS19" s="20" t="inlineStr">
        <is>
          <t>N/A</t>
        </is>
      </c>
      <c r="BT19" s="20" t="inlineStr">
        <is>
          <t>N/A</t>
        </is>
      </c>
      <c r="BU19" s="20" t="inlineStr">
        <is>
          <t>N/A</t>
        </is>
      </c>
      <c r="BV19" s="20" t="inlineStr">
        <is>
          <t>N/A</t>
        </is>
      </c>
      <c r="BW19" s="20" t="inlineStr">
        <is>
          <t>N/A</t>
        </is>
      </c>
      <c r="BX19" s="20" t="inlineStr">
        <is>
          <t>N/A</t>
        </is>
      </c>
      <c r="BY19" s="20" t="inlineStr">
        <is>
          <t>N/A</t>
        </is>
      </c>
      <c r="BZ19" s="20" t="inlineStr">
        <is>
          <t>Yes</t>
        </is>
      </c>
      <c r="CC19" s="20" t="inlineStr">
        <is>
          <t>N/A</t>
        </is>
      </c>
      <c r="CD19" s="20" t="inlineStr">
        <is>
          <t>N/A</t>
        </is>
      </c>
      <c r="CE19" s="20" t="inlineStr">
        <is>
          <t>N/A</t>
        </is>
      </c>
      <c r="CF19" s="20" t="inlineStr">
        <is>
          <t>N/A</t>
        </is>
      </c>
      <c r="CG19" s="20" t="inlineStr">
        <is>
          <t>N/A</t>
        </is>
      </c>
      <c r="CH19" s="20" t="inlineStr">
        <is>
          <t>N/A</t>
        </is>
      </c>
      <c r="CI19" s="20" t="inlineStr">
        <is>
          <t>Yes</t>
        </is>
      </c>
      <c r="CK19" s="20" t="inlineStr">
        <is>
          <t>N/A</t>
        </is>
      </c>
      <c r="CL19" s="20" t="inlineStr">
        <is>
          <t>N/A</t>
        </is>
      </c>
      <c r="CM19" s="20" t="inlineStr">
        <is>
          <t>N/A</t>
        </is>
      </c>
      <c r="CN19" s="20" t="inlineStr">
        <is>
          <t>Yes</t>
        </is>
      </c>
      <c r="CP19" s="20" t="inlineStr">
        <is>
          <t>N/A</t>
        </is>
      </c>
      <c r="CQ19" s="20" t="inlineStr">
        <is>
          <t>N/A</t>
        </is>
      </c>
      <c r="CR19" s="20" t="inlineStr">
        <is>
          <t>N/A</t>
        </is>
      </c>
      <c r="CS19" s="20" t="inlineStr">
        <is>
          <t>N/A</t>
        </is>
      </c>
      <c r="CT19" s="20" t="inlineStr">
        <is>
          <t>Yes</t>
        </is>
      </c>
      <c r="CV19" s="20" t="inlineStr">
        <is>
          <t>N/A</t>
        </is>
      </c>
      <c r="CW19" s="20" t="inlineStr">
        <is>
          <t>N/A</t>
        </is>
      </c>
      <c r="CX19" s="20" t="inlineStr">
        <is>
          <t>N/A</t>
        </is>
      </c>
      <c r="CY19" s="20" t="inlineStr">
        <is>
          <t>N/A</t>
        </is>
      </c>
      <c r="CZ19" s="20" t="inlineStr">
        <is>
          <t>Yes</t>
        </is>
      </c>
      <c r="DB19" s="20" t="inlineStr">
        <is>
          <t>N/A</t>
        </is>
      </c>
      <c r="DC19" s="20" t="inlineStr">
        <is>
          <t>N/A</t>
        </is>
      </c>
      <c r="DD19" s="20" t="inlineStr">
        <is>
          <t>N/A</t>
        </is>
      </c>
      <c r="DE19" s="20" t="inlineStr">
        <is>
          <t>N/A</t>
        </is>
      </c>
      <c r="DF19" s="20" t="inlineStr">
        <is>
          <t>Yes</t>
        </is>
      </c>
      <c r="DH19" s="20" t="inlineStr">
        <is>
          <t>N/A</t>
        </is>
      </c>
      <c r="DI19" s="20" t="inlineStr">
        <is>
          <t>N/A</t>
        </is>
      </c>
      <c r="DJ19" s="20" t="inlineStr">
        <is>
          <t>N/A</t>
        </is>
      </c>
      <c r="DK19" s="20" t="inlineStr">
        <is>
          <t>N/A</t>
        </is>
      </c>
      <c r="DL19" s="20" t="inlineStr">
        <is>
          <t>N/A</t>
        </is>
      </c>
      <c r="DM19" s="20" t="inlineStr">
        <is>
          <t>N/A</t>
        </is>
      </c>
      <c r="DN19" s="20" t="inlineStr">
        <is>
          <t>N/A</t>
        </is>
      </c>
      <c r="DO19" s="20" t="inlineStr">
        <is>
          <t>N/A</t>
        </is>
      </c>
      <c r="DP19" s="20" t="inlineStr">
        <is>
          <t>Yes</t>
        </is>
      </c>
      <c r="DR19" s="20" t="inlineStr">
        <is>
          <t>N/A</t>
        </is>
      </c>
      <c r="DS19" s="20" t="inlineStr">
        <is>
          <t>N/A</t>
        </is>
      </c>
      <c r="DT19" s="20" t="inlineStr">
        <is>
          <t>N/A</t>
        </is>
      </c>
      <c r="DU19" s="20" t="inlineStr">
        <is>
          <t>N/A</t>
        </is>
      </c>
      <c r="DV19" s="20" t="inlineStr">
        <is>
          <t>N/A</t>
        </is>
      </c>
      <c r="DW19" s="20" t="inlineStr">
        <is>
          <t>Yes</t>
        </is>
      </c>
      <c r="DZ19" s="20" t="inlineStr">
        <is>
          <t>No</t>
        </is>
      </c>
      <c r="EA19" s="20" t="inlineStr">
        <is>
          <t>N/A</t>
        </is>
      </c>
      <c r="EB19" s="20" t="inlineStr">
        <is>
          <t>N/A</t>
        </is>
      </c>
      <c r="EC19" s="20" t="inlineStr">
        <is>
          <t>N/A</t>
        </is>
      </c>
      <c r="ED19" s="20" t="inlineStr">
        <is>
          <t>N/A</t>
        </is>
      </c>
      <c r="EE19" s="20" t="inlineStr">
        <is>
          <t>N/A</t>
        </is>
      </c>
      <c r="EG19" s="20" t="inlineStr">
        <is>
          <t>N/A</t>
        </is>
      </c>
      <c r="EH19" s="20" t="inlineStr">
        <is>
          <t>N/A</t>
        </is>
      </c>
      <c r="EI19" s="20" t="inlineStr">
        <is>
          <t>N/A</t>
        </is>
      </c>
      <c r="EJ19" s="20" t="inlineStr">
        <is>
          <t>N/A</t>
        </is>
      </c>
      <c r="EK19" s="20" t="inlineStr">
        <is>
          <t>N/A</t>
        </is>
      </c>
      <c r="EL19" s="20" t="inlineStr">
        <is>
          <t>N/A</t>
        </is>
      </c>
      <c r="EM19" s="20" t="inlineStr">
        <is>
          <t>N/A</t>
        </is>
      </c>
      <c r="EN19" s="20" t="inlineStr">
        <is>
          <t>N/A</t>
        </is>
      </c>
      <c r="EO19" s="20" t="inlineStr">
        <is>
          <t>N/A</t>
        </is>
      </c>
      <c r="EP19" s="20" t="inlineStr">
        <is>
          <t>N/A</t>
        </is>
      </c>
      <c r="EQ19" s="20" t="inlineStr">
        <is>
          <t>N/A</t>
        </is>
      </c>
      <c r="ER19" s="20" t="inlineStr">
        <is>
          <t>N/A</t>
        </is>
      </c>
      <c r="ES19" s="20" t="inlineStr">
        <is>
          <t>N/A</t>
        </is>
      </c>
      <c r="ET19" s="20" t="inlineStr">
        <is>
          <t>N/A</t>
        </is>
      </c>
      <c r="EU19" s="20" t="inlineStr">
        <is>
          <t>N/A</t>
        </is>
      </c>
      <c r="EV19" s="20" t="inlineStr">
        <is>
          <t>N/A</t>
        </is>
      </c>
      <c r="EW19" s="20" t="inlineStr">
        <is>
          <t>N/A</t>
        </is>
      </c>
      <c r="EX19" s="20" t="inlineStr">
        <is>
          <t>N/A</t>
        </is>
      </c>
      <c r="EY19" s="20" t="inlineStr">
        <is>
          <t>N/A</t>
        </is>
      </c>
      <c r="FA19" s="20" t="inlineStr">
        <is>
          <t>N/A</t>
        </is>
      </c>
      <c r="FB19" s="20" t="inlineStr">
        <is>
          <t>N/A</t>
        </is>
      </c>
      <c r="FC19" s="20" t="inlineStr">
        <is>
          <t>N/A</t>
        </is>
      </c>
      <c r="FD19" s="20" t="inlineStr">
        <is>
          <t>N/A</t>
        </is>
      </c>
      <c r="FE19" s="20" t="inlineStr">
        <is>
          <t>N/A</t>
        </is>
      </c>
      <c r="FF19" s="20" t="inlineStr">
        <is>
          <t>N/A</t>
        </is>
      </c>
      <c r="FG19" s="20" t="inlineStr">
        <is>
          <t>N/A</t>
        </is>
      </c>
      <c r="FH19" s="20" t="inlineStr">
        <is>
          <t>N/A</t>
        </is>
      </c>
      <c r="FI19" s="20" t="inlineStr">
        <is>
          <t>N/A</t>
        </is>
      </c>
      <c r="FK19" s="20" t="inlineStr">
        <is>
          <t>N/A</t>
        </is>
      </c>
      <c r="FL19" s="20" t="inlineStr">
        <is>
          <t>N/A</t>
        </is>
      </c>
      <c r="FM19" s="20" t="inlineStr">
        <is>
          <t>N/A</t>
        </is>
      </c>
      <c r="FN19" s="20" t="inlineStr">
        <is>
          <t>N/A</t>
        </is>
      </c>
      <c r="FO19" s="20" t="inlineStr">
        <is>
          <t>N/A</t>
        </is>
      </c>
      <c r="FP19" s="20" t="inlineStr">
        <is>
          <t>N/A</t>
        </is>
      </c>
      <c r="FQ19" s="20" t="inlineStr">
        <is>
          <t>N/A</t>
        </is>
      </c>
      <c r="FS19" s="20" t="inlineStr">
        <is>
          <t>N/A</t>
        </is>
      </c>
      <c r="FT19" s="20" t="inlineStr">
        <is>
          <t>N/A</t>
        </is>
      </c>
      <c r="FU19" s="20" t="inlineStr">
        <is>
          <t>N/A</t>
        </is>
      </c>
      <c r="FV19" s="20" t="inlineStr">
        <is>
          <t>N/A</t>
        </is>
      </c>
      <c r="FW19" s="20" t="inlineStr">
        <is>
          <t>N/A</t>
        </is>
      </c>
      <c r="FX19" s="20" t="inlineStr">
        <is>
          <t>N/A</t>
        </is>
      </c>
      <c r="FY19" s="20" t="inlineStr">
        <is>
          <t>N/A</t>
        </is>
      </c>
      <c r="FZ19" s="20" t="inlineStr">
        <is>
          <t>N/A</t>
        </is>
      </c>
      <c r="GA19" s="20" t="inlineStr">
        <is>
          <t>N/A</t>
        </is>
      </c>
      <c r="GB19" s="20" t="inlineStr">
        <is>
          <t>N/A</t>
        </is>
      </c>
      <c r="GC19" s="20" t="inlineStr">
        <is>
          <t>N/A</t>
        </is>
      </c>
      <c r="GD19" s="20" t="inlineStr">
        <is>
          <t>N/A</t>
        </is>
      </c>
      <c r="GE19" s="20" t="inlineStr">
        <is>
          <t>N/A</t>
        </is>
      </c>
      <c r="GF19" s="20" t="inlineStr">
        <is>
          <t>N/A</t>
        </is>
      </c>
      <c r="GG19" s="20" t="inlineStr">
        <is>
          <t>N/A</t>
        </is>
      </c>
      <c r="GI19" s="20" t="inlineStr">
        <is>
          <t>As library support staff I have very limited direct exposure to open source beyond using library systems. The survey felt quite technical for my role.</t>
        </is>
      </c>
    </row>
    <row r="20" ht="15" customHeight="1" s="21">
      <c r="A20" s="20" t="n">
        <v>19</v>
      </c>
      <c r="B20" s="20" t="inlineStr">
        <is>
          <t>1980-01-01 00:00:00</t>
        </is>
      </c>
      <c r="C20" s="20" t="n">
        <v>25</v>
      </c>
      <c r="D20" s="20" t="inlineStr">
        <is>
          <t>en</t>
        </is>
      </c>
      <c r="E20" s="20" t="n">
        <v>1611517903</v>
      </c>
      <c r="F20" s="20" t="inlineStr">
        <is>
          <t>Leadership / Administration</t>
        </is>
      </c>
      <c r="H20" s="20" t="inlineStr">
        <is>
          <t>Important</t>
        </is>
      </c>
      <c r="I20" s="20" t="inlineStr">
        <is>
          <t>Yes</t>
        </is>
      </c>
      <c r="J20" s="20" t="inlineStr">
        <is>
          <t>No</t>
        </is>
      </c>
      <c r="K20" s="20" t="inlineStr">
        <is>
          <t>Yes</t>
        </is>
      </c>
      <c r="L20" s="20" t="inlineStr">
        <is>
          <t>Yes</t>
        </is>
      </c>
      <c r="M20" s="20" t="inlineStr">
        <is>
          <t>No</t>
        </is>
      </c>
      <c r="N20" s="20" t="inlineStr">
        <is>
          <t>Yes</t>
        </is>
      </c>
      <c r="O20" s="20" t="inlineStr">
        <is>
          <t>No</t>
        </is>
      </c>
      <c r="P20" s="20" t="inlineStr">
        <is>
          <t>No</t>
        </is>
      </c>
      <c r="R20" s="20" t="inlineStr">
        <is>
          <t>Confident</t>
        </is>
      </c>
      <c r="T20" s="20" t="inlineStr">
        <is>
          <t>No</t>
        </is>
      </c>
      <c r="U20" s="20" t="inlineStr">
        <is>
          <t>Yes</t>
        </is>
      </c>
      <c r="V20" s="20" t="inlineStr">
        <is>
          <t>Yes</t>
        </is>
      </c>
      <c r="W20" s="20" t="inlineStr">
        <is>
          <t>No</t>
        </is>
      </c>
      <c r="X20" s="20" t="inlineStr">
        <is>
          <t>No</t>
        </is>
      </c>
      <c r="Y20" s="20" t="inlineStr">
        <is>
          <t>Our Research Services office handles policy guidance on an ad hoc basis, drawing on input from IT and the Office of Research Compliance.</t>
        </is>
      </c>
      <c r="Z20" s="20" t="inlineStr">
        <is>
          <t>No</t>
        </is>
      </c>
      <c r="AA20" s="20" t="inlineStr">
        <is>
          <t>No</t>
        </is>
      </c>
      <c r="AB20" s="20" t="inlineStr">
        <is>
          <t>Yes</t>
        </is>
      </c>
      <c r="AC20" s="20" t="inlineStr">
        <is>
          <t>Yes</t>
        </is>
      </c>
      <c r="AD20" s="20" t="inlineStr">
        <is>
          <t>No</t>
        </is>
      </c>
      <c r="AE20" s="20" t="inlineStr">
        <is>
          <t>No</t>
        </is>
      </c>
      <c r="AF20" s="20" t="inlineStr">
        <is>
          <t>No</t>
        </is>
      </c>
      <c r="AG20" s="20" t="inlineStr">
        <is>
          <t>The Office of Research Compliance and our Technology Transfer office handle these on a case-by-case basis. No automated tooling in place yet.</t>
        </is>
      </c>
      <c r="AH20" s="20" t="inlineStr">
        <is>
          <t>No</t>
        </is>
      </c>
      <c r="AI20" s="20" t="inlineStr">
        <is>
          <t>No</t>
        </is>
      </c>
      <c r="AJ20" s="20" t="inlineStr">
        <is>
          <t>Yes</t>
        </is>
      </c>
      <c r="AK20" s="20" t="inlineStr">
        <is>
          <t>No</t>
        </is>
      </c>
      <c r="AL20" s="20" t="inlineStr">
        <is>
          <t>IT Security provides general training but there is no dedicated open source security programme. Dependency scanning is not systematic.</t>
        </is>
      </c>
      <c r="AM20" s="20" t="inlineStr">
        <is>
          <t>No</t>
        </is>
      </c>
      <c r="AN20" s="20" t="inlineStr">
        <is>
          <t>Yes</t>
        </is>
      </c>
      <c r="AO20" s="20" t="inlineStr">
        <is>
          <t>No</t>
        </is>
      </c>
      <c r="AP20" s="20" t="inlineStr">
        <is>
          <t>Yes</t>
        </is>
      </c>
      <c r="AQ20" s="20" t="inlineStr">
        <is>
          <t>Yes</t>
        </is>
      </c>
      <c r="AR20" s="20" t="inlineStr">
        <is>
          <t>No</t>
        </is>
      </c>
      <c r="AS20" s="20" t="inlineStr">
        <is>
          <t>No</t>
        </is>
      </c>
      <c r="AT20" s="20" t="inlineStr">
        <is>
          <t>Procurement is managed through the central Purchasing office. IT maintains a software registry. Open source is generally preferred for research tools when support costs are manageable.</t>
        </is>
      </c>
      <c r="AU20" s="20" t="inlineStr">
        <is>
          <t>No</t>
        </is>
      </c>
      <c r="AV20" s="20" t="inlineStr">
        <is>
          <t>Yes</t>
        </is>
      </c>
      <c r="AW20" s="20" t="inlineStr">
        <is>
          <t>No</t>
        </is>
      </c>
      <c r="AX20" s="20" t="inlineStr">
        <is>
          <t>No</t>
        </is>
      </c>
      <c r="AY20" s="20" t="inlineStr">
        <is>
          <t>No</t>
        </is>
      </c>
      <c r="AZ20" s="20" t="inlineStr">
        <is>
          <t>No</t>
        </is>
      </c>
      <c r="BA20" s="20" t="inlineStr">
        <is>
          <t>Research outputs policy covers open source software publication. The review process is informal — typically through the PI and technology transfer office for anything with IP implications.</t>
        </is>
      </c>
      <c r="BB20" s="20" t="inlineStr">
        <is>
          <t>No</t>
        </is>
      </c>
      <c r="BC20" s="20" t="inlineStr">
        <is>
          <t>No</t>
        </is>
      </c>
      <c r="BD20" s="20" t="inlineStr">
        <is>
          <t>Yes</t>
        </is>
      </c>
      <c r="BE20" s="20" t="inlineStr">
        <is>
          <t>Yes</t>
        </is>
      </c>
      <c r="BF20" s="20" t="inlineStr">
        <is>
          <t>No</t>
        </is>
      </c>
      <c r="BG20" s="20" t="inlineStr">
        <is>
          <t>No</t>
        </is>
      </c>
      <c r="BH20" s="20" t="inlineStr">
        <is>
          <t>Research Services maintains a list of internally developed open source tools. The communications team occasionally promotes major releases but there is no structured programme.</t>
        </is>
      </c>
      <c r="BI20" s="20" t="inlineStr">
        <is>
          <t>Yes</t>
        </is>
      </c>
      <c r="BJ20" s="20" t="inlineStr">
        <is>
          <t>No</t>
        </is>
      </c>
      <c r="BK20" s="20" t="inlineStr">
        <is>
          <t>No</t>
        </is>
      </c>
      <c r="BL20" s="20" t="inlineStr">
        <is>
          <t>Yes</t>
        </is>
      </c>
      <c r="BM20" s="20" t="inlineStr">
        <is>
          <t>No</t>
        </is>
      </c>
      <c r="BN20" s="20" t="inlineStr">
        <is>
          <t>No</t>
        </is>
      </c>
      <c r="BO20" s="20" t="inlineStr">
        <is>
          <t>Yes</t>
        </is>
      </c>
      <c r="BP20" s="20" t="inlineStr">
        <is>
          <t>No</t>
        </is>
      </c>
      <c r="BQ20" s="20" t="inlineStr">
        <is>
          <t>No</t>
        </is>
      </c>
      <c r="BR20" s="20" t="inlineStr">
        <is>
          <t>IT provides GitHub organisation accounts and CI/CD via GitHub Actions. Research Services tracks citation counts for published software through our research outputs system.</t>
        </is>
      </c>
      <c r="BS20" s="20" t="inlineStr">
        <is>
          <t>Yes</t>
        </is>
      </c>
      <c r="BT20" s="20" t="inlineStr">
        <is>
          <t>Yes</t>
        </is>
      </c>
      <c r="BU20" s="20" t="inlineStr">
        <is>
          <t>No</t>
        </is>
      </c>
      <c r="BV20" s="20" t="inlineStr">
        <is>
          <t>Yes</t>
        </is>
      </c>
      <c r="BW20" s="20" t="inlineStr">
        <is>
          <t>No</t>
        </is>
      </c>
      <c r="BX20" s="20" t="inlineStr">
        <is>
          <t>No</t>
        </is>
      </c>
      <c r="BY20" s="20" t="inlineStr">
        <is>
          <t>No</t>
        </is>
      </c>
      <c r="BZ20" s="20" t="inlineStr">
        <is>
          <t>No</t>
        </is>
      </c>
      <c r="CA20" s="20" t="inlineStr">
        <is>
          <t>Senior leadership supports open source in principle and the connection to research mission is understood. However there is no formal strategy document or dedicated open source budget — funding comes through individual grants.</t>
        </is>
      </c>
      <c r="CC20" s="20" t="inlineStr">
        <is>
          <t>Yes</t>
        </is>
      </c>
      <c r="CD20" s="20" t="inlineStr">
        <is>
          <t>No</t>
        </is>
      </c>
      <c r="CE20" s="20" t="inlineStr">
        <is>
          <t>No</t>
        </is>
      </c>
      <c r="CF20" s="20" t="inlineStr">
        <is>
          <t>Yes</t>
        </is>
      </c>
      <c r="CG20" s="20" t="inlineStr">
        <is>
          <t>Yes</t>
        </is>
      </c>
      <c r="CH20" s="20" t="inlineStr">
        <is>
          <t>No</t>
        </is>
      </c>
      <c r="CI20" s="20" t="inlineStr">
        <is>
          <t>No</t>
        </is>
      </c>
      <c r="CJ20" s="20" t="inlineStr">
        <is>
          <t>Template language for data management plans that covers open source licensing obligations would be very useful.</t>
        </is>
      </c>
      <c r="CK20" s="20" t="inlineStr">
        <is>
          <t>Yes</t>
        </is>
      </c>
      <c r="CL20" s="20" t="inlineStr">
        <is>
          <t>No</t>
        </is>
      </c>
      <c r="CM20" s="20" t="inlineStr">
        <is>
          <t>Yes</t>
        </is>
      </c>
      <c r="CN20" s="20" t="inlineStr">
        <is>
          <t>No</t>
        </is>
      </c>
      <c r="CO20" s="20" t="inlineStr">
        <is>
          <t>A decision framework for evaluating open source vs commercial tools for research infrastructure would be very helpful.</t>
        </is>
      </c>
      <c r="CP20" s="20" t="inlineStr">
        <is>
          <t>No</t>
        </is>
      </c>
      <c r="CQ20" s="20" t="inlineStr">
        <is>
          <t>Yes</t>
        </is>
      </c>
      <c r="CR20" s="20" t="inlineStr">
        <is>
          <t>Yes</t>
        </is>
      </c>
      <c r="CS20" s="20" t="inlineStr">
        <is>
          <t>No</t>
        </is>
      </c>
      <c r="CT20" s="20" t="inlineStr">
        <is>
          <t>No</t>
        </is>
      </c>
      <c r="CU20" s="20" t="inlineStr">
        <is>
          <t>Researchers often ask us how to release code developed under a grant — a clear step-by-step guide would reduce the burden on our office.</t>
        </is>
      </c>
      <c r="CV20" s="20" t="inlineStr">
        <is>
          <t>Yes</t>
        </is>
      </c>
      <c r="CW20" s="20" t="inlineStr">
        <is>
          <t>No</t>
        </is>
      </c>
      <c r="CX20" s="20" t="inlineStr">
        <is>
          <t>No</t>
        </is>
      </c>
      <c r="CY20" s="20" t="inlineStr">
        <is>
          <t>Yes</t>
        </is>
      </c>
      <c r="CZ20" s="20" t="inlineStr">
        <is>
          <t>No</t>
        </is>
      </c>
      <c r="DA20" s="20" t="inlineStr">
        <is>
          <t>Regular cross-departmental sessions on open source tools used in research administration would help build institutional knowledge.</t>
        </is>
      </c>
      <c r="DB20" s="20" t="inlineStr">
        <is>
          <t>Yes</t>
        </is>
      </c>
      <c r="DC20" s="20" t="inlineStr">
        <is>
          <t>Yes</t>
        </is>
      </c>
      <c r="DD20" s="20" t="inlineStr">
        <is>
          <t>Yes</t>
        </is>
      </c>
      <c r="DE20" s="20" t="inlineStr">
        <is>
          <t>No</t>
        </is>
      </c>
      <c r="DF20" s="20" t="inlineStr">
        <is>
          <t>No</t>
        </is>
      </c>
      <c r="DG20" s="20" t="inlineStr">
        <is>
          <t>Post-grant sustainability is our biggest gap. Most software development funding ends with the grant — we need mechanisms to bridge to the next funding cycle.</t>
        </is>
      </c>
      <c r="DH20" s="20" t="inlineStr">
        <is>
          <t>Yes</t>
        </is>
      </c>
      <c r="DI20" s="20" t="inlineStr">
        <is>
          <t>No</t>
        </is>
      </c>
      <c r="DJ20" s="20" t="inlineStr">
        <is>
          <t>No</t>
        </is>
      </c>
      <c r="DK20" s="20" t="inlineStr">
        <is>
          <t>No</t>
        </is>
      </c>
      <c r="DL20" s="20" t="inlineStr">
        <is>
          <t>Yes</t>
        </is>
      </c>
      <c r="DM20" s="20" t="inlineStr">
        <is>
          <t>Yes</t>
        </is>
      </c>
      <c r="DN20" s="20" t="inlineStr">
        <is>
          <t>No</t>
        </is>
      </c>
      <c r="DO20" s="20" t="inlineStr">
        <is>
          <t>No</t>
        </is>
      </c>
      <c r="DP20" s="20" t="inlineStr">
        <is>
          <t>No</t>
        </is>
      </c>
      <c r="DQ20" s="20" t="inlineStr">
        <is>
          <t>Centralised storage for research software outputs that survives project end dates would address a key gap we currently face.</t>
        </is>
      </c>
      <c r="DR20" s="20" t="inlineStr">
        <is>
          <t>Yes</t>
        </is>
      </c>
      <c r="DS20" s="20" t="inlineStr">
        <is>
          <t>No</t>
        </is>
      </c>
      <c r="DT20" s="20" t="inlineStr">
        <is>
          <t>No</t>
        </is>
      </c>
      <c r="DU20" s="20" t="inlineStr">
        <is>
          <t>Yes</t>
        </is>
      </c>
      <c r="DV20" s="20" t="inlineStr">
        <is>
          <t>Yes</t>
        </is>
      </c>
      <c r="DW20" s="20" t="inlineStr">
        <is>
          <t>No</t>
        </is>
      </c>
      <c r="DX20" s="20" t="inlineStr">
        <is>
          <t>Being able to demonstrate the research impact and citation value of open source software would help us make the case to leadership for sustained investment.</t>
        </is>
      </c>
      <c r="DZ20" s="20" t="inlineStr">
        <is>
          <t>Yes</t>
        </is>
      </c>
      <c r="EA20" s="20" t="inlineStr">
        <is>
          <t>Yes</t>
        </is>
      </c>
      <c r="EB20" s="20" t="inlineStr">
        <is>
          <t>Yes</t>
        </is>
      </c>
      <c r="EC20" s="20" t="inlineStr">
        <is>
          <t>No</t>
        </is>
      </c>
      <c r="ED20" s="20" t="inlineStr">
        <is>
          <t>No</t>
        </is>
      </c>
      <c r="EE20" s="20" t="inlineStr">
        <is>
          <t>No</t>
        </is>
      </c>
      <c r="EG20" s="20" t="inlineStr">
        <is>
          <t>No</t>
        </is>
      </c>
      <c r="EH20" s="20" t="inlineStr">
        <is>
          <t>No</t>
        </is>
      </c>
      <c r="EI20" s="20" t="inlineStr">
        <is>
          <t>No</t>
        </is>
      </c>
      <c r="EJ20" s="20" t="inlineStr">
        <is>
          <t>No</t>
        </is>
      </c>
      <c r="EK20" s="20" t="inlineStr">
        <is>
          <t>No</t>
        </is>
      </c>
      <c r="EL20" s="20" t="inlineStr">
        <is>
          <t>Yes</t>
        </is>
      </c>
      <c r="EM20" s="20" t="inlineStr">
        <is>
          <t>No</t>
        </is>
      </c>
      <c r="EN20" s="20" t="inlineStr">
        <is>
          <t>Yes</t>
        </is>
      </c>
      <c r="EO20" s="20" t="inlineStr">
        <is>
          <t>No</t>
        </is>
      </c>
      <c r="EP20" s="20" t="inlineStr">
        <is>
          <t>No</t>
        </is>
      </c>
      <c r="EQ20" s="20" t="inlineStr">
        <is>
          <t>No</t>
        </is>
      </c>
      <c r="ER20" s="20" t="inlineStr">
        <is>
          <t>No</t>
        </is>
      </c>
      <c r="ES20" s="20" t="inlineStr">
        <is>
          <t>Yes</t>
        </is>
      </c>
      <c r="ET20" s="20" t="inlineStr">
        <is>
          <t>No</t>
        </is>
      </c>
      <c r="EU20" s="20" t="inlineStr">
        <is>
          <t>No</t>
        </is>
      </c>
      <c r="EV20" s="20" t="inlineStr">
        <is>
          <t>Yes</t>
        </is>
      </c>
      <c r="EW20" s="20" t="inlineStr">
        <is>
          <t>No</t>
        </is>
      </c>
      <c r="EX20" s="20" t="inlineStr">
        <is>
          <t>No</t>
        </is>
      </c>
      <c r="EY20" s="20" t="inlineStr">
        <is>
          <t>No</t>
        </is>
      </c>
      <c r="FA20" s="20" t="inlineStr">
        <is>
          <t>Yes</t>
        </is>
      </c>
      <c r="FB20" s="20" t="inlineStr">
        <is>
          <t>No</t>
        </is>
      </c>
      <c r="FC20" s="20" t="inlineStr">
        <is>
          <t>Yes</t>
        </is>
      </c>
      <c r="FD20" s="20" t="inlineStr">
        <is>
          <t>No</t>
        </is>
      </c>
      <c r="FE20" s="20" t="inlineStr">
        <is>
          <t>No</t>
        </is>
      </c>
      <c r="FF20" s="20" t="inlineStr">
        <is>
          <t>Yes</t>
        </is>
      </c>
      <c r="FG20" s="20" t="inlineStr">
        <is>
          <t>No</t>
        </is>
      </c>
      <c r="FH20" s="20" t="inlineStr">
        <is>
          <t>No</t>
        </is>
      </c>
      <c r="FI20" s="20" t="inlineStr">
        <is>
          <t>No</t>
        </is>
      </c>
      <c r="FK20" s="20" t="inlineStr">
        <is>
          <t>No</t>
        </is>
      </c>
      <c r="FL20" s="20" t="inlineStr">
        <is>
          <t>Yes</t>
        </is>
      </c>
      <c r="FM20" s="20" t="inlineStr">
        <is>
          <t>No</t>
        </is>
      </c>
      <c r="FN20" s="20" t="inlineStr">
        <is>
          <t>No</t>
        </is>
      </c>
      <c r="FO20" s="20" t="inlineStr">
        <is>
          <t>Yes</t>
        </is>
      </c>
      <c r="FP20" s="20" t="inlineStr">
        <is>
          <t>No</t>
        </is>
      </c>
      <c r="FQ20" s="20" t="inlineStr">
        <is>
          <t>No</t>
        </is>
      </c>
      <c r="FS20" s="20" t="inlineStr">
        <is>
          <t>No</t>
        </is>
      </c>
      <c r="FT20" s="20" t="inlineStr">
        <is>
          <t>No</t>
        </is>
      </c>
      <c r="FU20" s="20" t="inlineStr">
        <is>
          <t>No</t>
        </is>
      </c>
      <c r="FV20" s="20" t="inlineStr">
        <is>
          <t>No</t>
        </is>
      </c>
      <c r="FW20" s="20" t="inlineStr">
        <is>
          <t>No</t>
        </is>
      </c>
      <c r="FX20" s="20" t="inlineStr">
        <is>
          <t>No</t>
        </is>
      </c>
      <c r="FY20" s="20" t="inlineStr">
        <is>
          <t>No</t>
        </is>
      </c>
      <c r="FZ20" s="20" t="inlineStr">
        <is>
          <t>No</t>
        </is>
      </c>
      <c r="GA20" s="20" t="inlineStr">
        <is>
          <t>No</t>
        </is>
      </c>
      <c r="GB20" s="20" t="inlineStr">
        <is>
          <t>No</t>
        </is>
      </c>
      <c r="GC20" s="20" t="inlineStr">
        <is>
          <t>No</t>
        </is>
      </c>
      <c r="GD20" s="20" t="inlineStr">
        <is>
          <t>Yes</t>
        </is>
      </c>
      <c r="GE20" s="20" t="inlineStr">
        <is>
          <t>Yes</t>
        </is>
      </c>
      <c r="GF20" s="20" t="inlineStr">
        <is>
          <t>Yes</t>
        </is>
      </c>
      <c r="GG20" s="20" t="inlineStr">
        <is>
          <t>No</t>
        </is>
      </c>
      <c r="GI20" s="20" t="inlineStr">
        <is>
          <t>The survey covers the right territory. From a research administration perspective, the funding and sustainability section resonates most strongly — this is where we feel most underserved. It would also be helpful to distinguish between supporting researchers who use open source vs. those who create it, as the needs are quite different.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7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1" customWidth="1" style="20" min="1" max="1"/>
    <col width="52" customWidth="1" style="20" min="2" max="2"/>
    <col width="11" customWidth="1" style="20" min="3" max="3"/>
    <col width="10" customWidth="1" style="20" min="4" max="4"/>
    <col width="9" customWidth="1" style="20" min="5" max="5"/>
    <col width="15" customWidth="1" style="20" min="6" max="6"/>
    <col width="8" customWidth="1" style="20" min="7" max="7"/>
    <col hidden="1" width="13" customWidth="1" style="20" min="8" max="11"/>
  </cols>
  <sheetData>
    <row r="1" ht="26.25" customHeight="1" s="21">
      <c r="A1" s="29" t="inlineStr">
        <is>
          <t>Code</t>
        </is>
      </c>
      <c r="B1" s="29" t="inlineStr">
        <is>
          <t>Survey item</t>
        </is>
      </c>
      <c r="C1" s="29" t="inlineStr">
        <is>
          <t>Section</t>
        </is>
      </c>
      <c r="D1" s="29" t="inlineStr">
        <is>
          <t>OSMM level</t>
        </is>
      </c>
      <c r="E1" s="29" t="inlineStr">
        <is>
          <t>Service #</t>
        </is>
      </c>
      <c r="F1" s="29" t="inlineStr">
        <is>
          <t>% ticked (auto)</t>
        </is>
      </c>
      <c r="G1" s="29" t="inlineStr">
        <is>
          <t>Check</t>
        </is>
      </c>
    </row>
    <row r="2" ht="15" customHeight="1" s="21">
      <c r="A2" s="41" t="inlineStr">
        <is>
          <t>Q300·SQ001</t>
        </is>
      </c>
      <c r="B2" s="40" t="inlineStr">
        <is>
          <t>Has an open source program office (OSPO) or equivalent function</t>
        </is>
      </c>
      <c r="C2" s="41" t="inlineStr">
        <is>
          <t>Maturity</t>
        </is>
      </c>
      <c r="D2" s="41" t="inlineStr">
        <is>
          <t>L2</t>
        </is>
      </c>
      <c r="E2" s="41" t="n">
        <v>1</v>
      </c>
      <c r="F2" s="32">
        <f>IF($I2=0,"",IF(COUNTIF(OFFSET('Data (paste export here)'!$B$1,1,0,100000,1),"&lt;&gt;")=0,"",ROUND(COUNTIFS(OFFSET('Data (paste export here)'!$A$1,1,$I2-1,100000,1),"Yes",OFFSET('Data (paste export here)'!$B$1,1,0,100000,1),"&lt;&gt;")/COUNTIF(OFFSET('Data (paste export here)'!$B$1,1,0,100000,1),"&lt;&gt;")*100,0)))</f>
        <v/>
      </c>
      <c r="G2" s="41">
        <f>IF(AND($I2&gt;0,ISNUMBER(SEARCH($J2,INDEX('Data (paste export here)'!$1:$1,$I2)))),"✓","✗")</f>
        <v/>
      </c>
      <c r="H2" s="20" t="inlineStr">
        <is>
          <t>Q300[SQ001]</t>
        </is>
      </c>
      <c r="I2" s="20">
        <f>SUMPRODUCT((--ISNUMBER(SEARCH($H2,'Data (paste export here)'!$A$1:$HZ$1)))*COLUMN('Data (paste export here)'!$A$1:$HZ$1))</f>
        <v/>
      </c>
      <c r="J2" s="20" t="inlineStr">
        <is>
          <t>Has an open source program office (OSPO) or equivalent function</t>
        </is>
      </c>
      <c r="K2" s="20" t="inlineStr">
        <is>
          <t>Q300</t>
        </is>
      </c>
    </row>
    <row r="3" ht="15" customHeight="1" s="21">
      <c r="A3" s="41" t="inlineStr">
        <is>
          <t>Q300·SQ002</t>
        </is>
      </c>
      <c r="B3" s="40" t="inlineStr">
        <is>
          <t>Has an open source use policy</t>
        </is>
      </c>
      <c r="C3" s="41" t="inlineStr">
        <is>
          <t>Maturity</t>
        </is>
      </c>
      <c r="D3" s="41" t="inlineStr">
        <is>
          <t>L2</t>
        </is>
      </c>
      <c r="E3" s="41" t="n">
        <v>4</v>
      </c>
      <c r="F3" s="32">
        <f>IF($I3=0,"",IF(COUNTIF(OFFSET('Data (paste export here)'!$B$1,1,0,100000,1),"&lt;&gt;")=0,"",ROUND(COUNTIFS(OFFSET('Data (paste export here)'!$A$1,1,$I3-1,100000,1),"Yes",OFFSET('Data (paste export here)'!$B$1,1,0,100000,1),"&lt;&gt;")/COUNTIF(OFFSET('Data (paste export here)'!$B$1,1,0,100000,1),"&lt;&gt;")*100,0)))</f>
        <v/>
      </c>
      <c r="G3" s="41">
        <f>IF(AND($I3&gt;0,ISNUMBER(SEARCH($J3,INDEX('Data (paste export here)'!$1:$1,$I3)))),"✓","✗")</f>
        <v/>
      </c>
      <c r="H3" s="20" t="inlineStr">
        <is>
          <t>Q300[SQ002]</t>
        </is>
      </c>
      <c r="I3" s="20">
        <f>SUMPRODUCT((--ISNUMBER(SEARCH($H3,'Data (paste export here)'!$A$1:$HZ$1)))*COLUMN('Data (paste export here)'!$A$1:$HZ$1))</f>
        <v/>
      </c>
      <c r="J3" s="20" t="inlineStr">
        <is>
          <t>Has an open source use policy</t>
        </is>
      </c>
      <c r="K3" s="20" t="inlineStr">
        <is>
          <t>Q300</t>
        </is>
      </c>
    </row>
    <row r="4" ht="15" customHeight="1" s="21">
      <c r="A4" s="41" t="inlineStr">
        <is>
          <t>Q300·SQ003</t>
        </is>
      </c>
      <c r="B4" s="40" t="inlineStr">
        <is>
          <t>Has a defined process for using open source software</t>
        </is>
      </c>
      <c r="C4" s="41" t="inlineStr">
        <is>
          <t>Maturity</t>
        </is>
      </c>
      <c r="D4" s="41" t="inlineStr">
        <is>
          <t>L2</t>
        </is>
      </c>
      <c r="E4" s="41" t="n">
        <v>6</v>
      </c>
      <c r="F4" s="32">
        <f>IF($I4=0,"",IF(COUNTIF(OFFSET('Data (paste export here)'!$B$1,1,0,100000,1),"&lt;&gt;")=0,"",ROUND(COUNTIFS(OFFSET('Data (paste export here)'!$A$1,1,$I4-1,100000,1),"Yes",OFFSET('Data (paste export here)'!$B$1,1,0,100000,1),"&lt;&gt;")/COUNTIF(OFFSET('Data (paste export here)'!$B$1,1,0,100000,1),"&lt;&gt;")*100,0)))</f>
        <v/>
      </c>
      <c r="G4" s="41">
        <f>IF(AND($I4&gt;0,ISNUMBER(SEARCH($J4,INDEX('Data (paste export here)'!$1:$1,$I4)))),"✓","✗")</f>
        <v/>
      </c>
      <c r="H4" s="20" t="inlineStr">
        <is>
          <t>Q300[SQ003]</t>
        </is>
      </c>
      <c r="I4" s="20">
        <f>SUMPRODUCT((--ISNUMBER(SEARCH($H4,'Data (paste export here)'!$A$1:$HZ$1)))*COLUMN('Data (paste export here)'!$A$1:$HZ$1))</f>
        <v/>
      </c>
      <c r="J4" s="20" t="inlineStr">
        <is>
          <t>Has a defined process for using open source software</t>
        </is>
      </c>
      <c r="K4" s="20" t="inlineStr">
        <is>
          <t>Q300</t>
        </is>
      </c>
    </row>
    <row r="5" ht="15" customHeight="1" s="21">
      <c r="A5" s="41" t="inlineStr">
        <is>
          <t>Q300·SQ004</t>
        </is>
      </c>
      <c r="B5" s="40" t="inlineStr">
        <is>
          <t>Provides staff with guidance on the responsible use of open source AI</t>
        </is>
      </c>
      <c r="C5" s="41" t="inlineStr">
        <is>
          <t>Maturity</t>
        </is>
      </c>
      <c r="D5" s="41" t="inlineStr">
        <is>
          <t>L2</t>
        </is>
      </c>
      <c r="E5" s="41" t="n">
        <v>13</v>
      </c>
      <c r="F5" s="32">
        <f>IF($I5=0,"",IF(COUNTIF(OFFSET('Data (paste export here)'!$B$1,1,0,100000,1),"&lt;&gt;")=0,"",ROUND(COUNTIFS(OFFSET('Data (paste export here)'!$A$1,1,$I5-1,100000,1),"Yes",OFFSET('Data (paste export here)'!$B$1,1,0,100000,1),"&lt;&gt;")/COUNTIF(OFFSET('Data (paste export here)'!$B$1,1,0,100000,1),"&lt;&gt;")*100,0)))</f>
        <v/>
      </c>
      <c r="G5" s="41">
        <f>IF(AND($I5&gt;0,ISNUMBER(SEARCH($J5,INDEX('Data (paste export here)'!$1:$1,$I5)))),"✓","✗")</f>
        <v/>
      </c>
      <c r="H5" s="20" t="inlineStr">
        <is>
          <t>Q300[SQ004]</t>
        </is>
      </c>
      <c r="I5" s="20">
        <f>SUMPRODUCT((--ISNUMBER(SEARCH($H5,'Data (paste export here)'!$A$1:$HZ$1)))*COLUMN('Data (paste export here)'!$A$1:$HZ$1))</f>
        <v/>
      </c>
      <c r="J5" s="20" t="inlineStr">
        <is>
          <t>Provides staff with guidance on the responsible use of open source AI</t>
        </is>
      </c>
      <c r="K5" s="20" t="inlineStr">
        <is>
          <t>Q300</t>
        </is>
      </c>
    </row>
    <row r="6" ht="15" customHeight="1" s="21">
      <c r="A6" s="41" t="inlineStr">
        <is>
          <t>Q310·SQ001</t>
        </is>
      </c>
      <c r="B6" s="40" t="inlineStr">
        <is>
          <t>Has standardized controls around open source use</t>
        </is>
      </c>
      <c r="C6" s="41" t="inlineStr">
        <is>
          <t>Maturity</t>
        </is>
      </c>
      <c r="D6" s="41" t="inlineStr">
        <is>
          <t>L2</t>
        </is>
      </c>
      <c r="E6" s="41" t="n">
        <v>4</v>
      </c>
      <c r="F6" s="32">
        <f>IF($I6=0,"",IF(COUNTIF(OFFSET('Data (paste export here)'!$B$1,1,0,100000,1),"&lt;&gt;")=0,"",ROUND(COUNTIFS(OFFSET('Data (paste export here)'!$A$1,1,$I6-1,100000,1),"Yes",OFFSET('Data (paste export here)'!$B$1,1,0,100000,1),"&lt;&gt;")/COUNTIF(OFFSET('Data (paste export here)'!$B$1,1,0,100000,1),"&lt;&gt;")*100,0)))</f>
        <v/>
      </c>
      <c r="G6" s="41">
        <f>IF(AND($I6&gt;0,ISNUMBER(SEARCH($J6,INDEX('Data (paste export here)'!$1:$1,$I6)))),"✓","✗")</f>
        <v/>
      </c>
      <c r="H6" s="20" t="inlineStr">
        <is>
          <t>Q310[SQ001]</t>
        </is>
      </c>
      <c r="I6" s="20">
        <f>SUMPRODUCT((--ISNUMBER(SEARCH($H6,'Data (paste export here)'!$A$1:$HZ$1)))*COLUMN('Data (paste export here)'!$A$1:$HZ$1))</f>
        <v/>
      </c>
      <c r="J6" s="20" t="inlineStr">
        <is>
          <t>Has standardized controls around open source use</t>
        </is>
      </c>
      <c r="K6" s="20" t="inlineStr">
        <is>
          <t>Q310</t>
        </is>
      </c>
    </row>
    <row r="7" ht="15" customHeight="1" s="21">
      <c r="A7" s="41" t="inlineStr">
        <is>
          <t>Q310·SQ002</t>
        </is>
      </c>
      <c r="B7" s="40" t="inlineStr">
        <is>
          <t>Has an automated process for managing open source IP / license compliance</t>
        </is>
      </c>
      <c r="C7" s="41" t="inlineStr">
        <is>
          <t>Maturity</t>
        </is>
      </c>
      <c r="D7" s="41" t="inlineStr">
        <is>
          <t>L2</t>
        </is>
      </c>
      <c r="E7" s="41" t="n">
        <v>4</v>
      </c>
      <c r="F7" s="32">
        <f>IF($I7=0,"",IF(COUNTIF(OFFSET('Data (paste export here)'!$B$1,1,0,100000,1),"&lt;&gt;")=0,"",ROUND(COUNTIFS(OFFSET('Data (paste export here)'!$A$1,1,$I7-1,100000,1),"Yes",OFFSET('Data (paste export here)'!$B$1,1,0,100000,1),"&lt;&gt;")/COUNTIF(OFFSET('Data (paste export here)'!$B$1,1,0,100000,1),"&lt;&gt;")*100,0)))</f>
        <v/>
      </c>
      <c r="G7" s="41">
        <f>IF(AND($I7&gt;0,ISNUMBER(SEARCH($J7,INDEX('Data (paste export here)'!$1:$1,$I7)))),"✓","✗")</f>
        <v/>
      </c>
      <c r="H7" s="20" t="inlineStr">
        <is>
          <t>Q310[SQ002]</t>
        </is>
      </c>
      <c r="I7" s="20">
        <f>SUMPRODUCT((--ISNUMBER(SEARCH($H7,'Data (paste export here)'!$A$1:$HZ$1)))*COLUMN('Data (paste export here)'!$A$1:$HZ$1))</f>
        <v/>
      </c>
      <c r="J7" s="20" t="inlineStr">
        <is>
          <t>Has an automated process for managing open source IP / license compliance</t>
        </is>
      </c>
      <c r="K7" s="20" t="inlineStr">
        <is>
          <t>Q310</t>
        </is>
      </c>
    </row>
    <row r="8" ht="15" customHeight="1" s="21">
      <c r="A8" s="41" t="inlineStr">
        <is>
          <t>Q310·SQ003</t>
        </is>
      </c>
      <c r="B8" s="40" t="inlineStr">
        <is>
          <t>Includes open source risk management in its compliance policy</t>
        </is>
      </c>
      <c r="C8" s="41" t="inlineStr">
        <is>
          <t>Maturity</t>
        </is>
      </c>
      <c r="D8" s="41" t="inlineStr">
        <is>
          <t>L2</t>
        </is>
      </c>
      <c r="E8" s="41" t="n">
        <v>5</v>
      </c>
      <c r="F8" s="32">
        <f>IF($I8=0,"",IF(COUNTIF(OFFSET('Data (paste export here)'!$B$1,1,0,100000,1),"&lt;&gt;")=0,"",ROUND(COUNTIFS(OFFSET('Data (paste export here)'!$A$1,1,$I8-1,100000,1),"Yes",OFFSET('Data (paste export here)'!$B$1,1,0,100000,1),"&lt;&gt;")/COUNTIF(OFFSET('Data (paste export here)'!$B$1,1,0,100000,1),"&lt;&gt;")*100,0)))</f>
        <v/>
      </c>
      <c r="G8" s="41">
        <f>IF(AND($I8&gt;0,ISNUMBER(SEARCH($J8,INDEX('Data (paste export here)'!$1:$1,$I8)))),"✓","✗")</f>
        <v/>
      </c>
      <c r="H8" s="20" t="inlineStr">
        <is>
          <t>Q310[SQ003]</t>
        </is>
      </c>
      <c r="I8" s="20">
        <f>SUMPRODUCT((--ISNUMBER(SEARCH($H8,'Data (paste export here)'!$A$1:$HZ$1)))*COLUMN('Data (paste export here)'!$A$1:$HZ$1))</f>
        <v/>
      </c>
      <c r="J8" s="20" t="inlineStr">
        <is>
          <t>Includes open source risk management in its compliance policy</t>
        </is>
      </c>
      <c r="K8" s="20" t="inlineStr">
        <is>
          <t>Q310</t>
        </is>
      </c>
    </row>
    <row r="9" ht="15" customHeight="1" s="21">
      <c r="A9" s="41" t="inlineStr">
        <is>
          <t>Q310·SQ004</t>
        </is>
      </c>
      <c r="B9" s="40" t="inlineStr">
        <is>
          <t>Engages its technology-transfer or knowledge-exchange office when releasing or licensing open source software</t>
        </is>
      </c>
      <c r="C9" s="41" t="inlineStr">
        <is>
          <t>Maturity</t>
        </is>
      </c>
      <c r="D9" s="41" t="inlineStr">
        <is>
          <t>L4</t>
        </is>
      </c>
      <c r="E9" s="41" t="n">
        <v>7</v>
      </c>
      <c r="F9" s="32">
        <f>IF($I9=0,"",IF(COUNTIF(OFFSET('Data (paste export here)'!$B$1,1,0,100000,1),"&lt;&gt;")=0,"",ROUND(COUNTIFS(OFFSET('Data (paste export here)'!$A$1,1,$I9-1,100000,1),"Yes",OFFSET('Data (paste export here)'!$B$1,1,0,100000,1),"&lt;&gt;")/COUNTIF(OFFSET('Data (paste export here)'!$B$1,1,0,100000,1),"&lt;&gt;")*100,0)))</f>
        <v/>
      </c>
      <c r="G9" s="41">
        <f>IF(AND($I9&gt;0,ISNUMBER(SEARCH($J9,INDEX('Data (paste export here)'!$1:$1,$I9)))),"✓","✗")</f>
        <v/>
      </c>
      <c r="H9" s="20" t="inlineStr">
        <is>
          <t>Q310[SQ004]</t>
        </is>
      </c>
      <c r="I9" s="20">
        <f>SUMPRODUCT((--ISNUMBER(SEARCH($H9,'Data (paste export here)'!$A$1:$HZ$1)))*COLUMN('Data (paste export here)'!$A$1:$HZ$1))</f>
        <v/>
      </c>
      <c r="J9" s="20" t="inlineStr">
        <is>
          <t>Engages its technology-transfer or knowledge-exchange office when releasing or licensing open source software</t>
        </is>
      </c>
      <c r="K9" s="20" t="inlineStr">
        <is>
          <t>Q310</t>
        </is>
      </c>
    </row>
    <row r="10" ht="15" customHeight="1" s="21">
      <c r="A10" s="41" t="inlineStr">
        <is>
          <t>Q310·SQ005</t>
        </is>
      </c>
      <c r="B10" s="40" t="inlineStr">
        <is>
          <t>Provides internal license-compliance training</t>
        </is>
      </c>
      <c r="C10" s="41" t="inlineStr">
        <is>
          <t>Maturity</t>
        </is>
      </c>
      <c r="D10" s="41" t="inlineStr">
        <is>
          <t>L2</t>
        </is>
      </c>
      <c r="E10" s="41" t="n">
        <v>4</v>
      </c>
      <c r="F10" s="32">
        <f>IF($I10=0,"",IF(COUNTIF(OFFSET('Data (paste export here)'!$B$1,1,0,100000,1),"&lt;&gt;")=0,"",ROUND(COUNTIFS(OFFSET('Data (paste export here)'!$A$1,1,$I10-1,100000,1),"Yes",OFFSET('Data (paste export here)'!$B$1,1,0,100000,1),"&lt;&gt;")/COUNTIF(OFFSET('Data (paste export here)'!$B$1,1,0,100000,1),"&lt;&gt;")*100,0)))</f>
        <v/>
      </c>
      <c r="G10" s="41">
        <f>IF(AND($I10&gt;0,ISNUMBER(SEARCH($J10,INDEX('Data (paste export here)'!$1:$1,$I10)))),"✓","✗")</f>
        <v/>
      </c>
      <c r="H10" s="20" t="inlineStr">
        <is>
          <t>Q310[SQ005]</t>
        </is>
      </c>
      <c r="I10" s="20">
        <f>SUMPRODUCT((--ISNUMBER(SEARCH($H10,'Data (paste export here)'!$A$1:$HZ$1)))*COLUMN('Data (paste export here)'!$A$1:$HZ$1))</f>
        <v/>
      </c>
      <c r="J10" s="20" t="inlineStr">
        <is>
          <t>Provides internal license-compliance training</t>
        </is>
      </c>
      <c r="K10" s="20" t="inlineStr">
        <is>
          <t>Q310</t>
        </is>
      </c>
    </row>
    <row r="11" ht="15" customHeight="1" s="21">
      <c r="A11" s="41" t="inlineStr">
        <is>
          <t>Q310·SQ006</t>
        </is>
      </c>
      <c r="B11" s="40" t="inlineStr">
        <is>
          <t>Addresses AI-generated code (licensing, attribution, and IP) in its open source or compliance policy</t>
        </is>
      </c>
      <c r="C11" s="41" t="inlineStr">
        <is>
          <t>Maturity</t>
        </is>
      </c>
      <c r="D11" s="41" t="inlineStr">
        <is>
          <t>L2</t>
        </is>
      </c>
      <c r="E11" s="41" t="n">
        <v>13</v>
      </c>
      <c r="F11" s="32">
        <f>IF($I11=0,"",IF(COUNTIF(OFFSET('Data (paste export here)'!$B$1,1,0,100000,1),"&lt;&gt;")=0,"",ROUND(COUNTIFS(OFFSET('Data (paste export here)'!$A$1,1,$I11-1,100000,1),"Yes",OFFSET('Data (paste export here)'!$B$1,1,0,100000,1),"&lt;&gt;")/COUNTIF(OFFSET('Data (paste export here)'!$B$1,1,0,100000,1),"&lt;&gt;")*100,0)))</f>
        <v/>
      </c>
      <c r="G11" s="41">
        <f>IF(AND($I11&gt;0,ISNUMBER(SEARCH($J11,INDEX('Data (paste export here)'!$1:$1,$I11)))),"✓","✗")</f>
        <v/>
      </c>
      <c r="H11" s="20" t="inlineStr">
        <is>
          <t>Q310[SQ006]</t>
        </is>
      </c>
      <c r="I11" s="20">
        <f>SUMPRODUCT((--ISNUMBER(SEARCH($H11,'Data (paste export here)'!$A$1:$HZ$1)))*COLUMN('Data (paste export here)'!$A$1:$HZ$1))</f>
        <v/>
      </c>
      <c r="J11" s="20" t="inlineStr">
        <is>
          <t>Addresses AI-generated code (licensing, attribution, and IP) in its open source or compliance policy</t>
        </is>
      </c>
      <c r="K11" s="20" t="inlineStr">
        <is>
          <t>Q310</t>
        </is>
      </c>
    </row>
    <row r="12" ht="15" customHeight="1" s="21">
      <c r="A12" s="41" t="inlineStr">
        <is>
          <t>Q320·SQ001</t>
        </is>
      </c>
      <c r="B12" s="40" t="inlineStr">
        <is>
          <t>Uses code-scanning tools to audit software composition and dependencies</t>
        </is>
      </c>
      <c r="C12" s="41" t="inlineStr">
        <is>
          <t>Maturity</t>
        </is>
      </c>
      <c r="D12" s="41" t="inlineStr">
        <is>
          <t>L2</t>
        </is>
      </c>
      <c r="E12" s="41" t="n">
        <v>5</v>
      </c>
      <c r="F12" s="32">
        <f>IF($I12=0,"",IF(COUNTIF(OFFSET('Data (paste export here)'!$B$1,1,0,100000,1),"&lt;&gt;")=0,"",ROUND(COUNTIFS(OFFSET('Data (paste export here)'!$A$1,1,$I12-1,100000,1),"Yes",OFFSET('Data (paste export here)'!$B$1,1,0,100000,1),"&lt;&gt;")/COUNTIF(OFFSET('Data (paste export here)'!$B$1,1,0,100000,1),"&lt;&gt;")*100,0)))</f>
        <v/>
      </c>
      <c r="G12" s="41">
        <f>IF(AND($I12&gt;0,ISNUMBER(SEARCH($J12,INDEX('Data (paste export here)'!$1:$1,$I12)))),"✓","✗")</f>
        <v/>
      </c>
      <c r="H12" s="20" t="inlineStr">
        <is>
          <t>Q320[SQ001]</t>
        </is>
      </c>
      <c r="I12" s="20">
        <f>SUMPRODUCT((--ISNUMBER(SEARCH($H12,'Data (paste export here)'!$A$1:$HZ$1)))*COLUMN('Data (paste export here)'!$A$1:$HZ$1))</f>
        <v/>
      </c>
      <c r="J12" s="20" t="inlineStr">
        <is>
          <t>Uses code-scanning tools to audit software composition and dependencies</t>
        </is>
      </c>
      <c r="K12" s="20" t="inlineStr">
        <is>
          <t>Q320</t>
        </is>
      </c>
    </row>
    <row r="13" ht="15" customHeight="1" s="21">
      <c r="A13" s="41" t="inlineStr">
        <is>
          <t>Q320·SQ002</t>
        </is>
      </c>
      <c r="B13" s="40" t="inlineStr">
        <is>
          <t>Runs penetration tests and periodic threat assessments for open source software</t>
        </is>
      </c>
      <c r="C13" s="41" t="inlineStr">
        <is>
          <t>Maturity</t>
        </is>
      </c>
      <c r="D13" s="41" t="inlineStr">
        <is>
          <t>L2</t>
        </is>
      </c>
      <c r="E13" s="41" t="n">
        <v>5</v>
      </c>
      <c r="F13" s="32">
        <f>IF($I13=0,"",IF(COUNTIF(OFFSET('Data (paste export here)'!$B$1,1,0,100000,1),"&lt;&gt;")=0,"",ROUND(COUNTIFS(OFFSET('Data (paste export here)'!$A$1,1,$I13-1,100000,1),"Yes",OFFSET('Data (paste export here)'!$B$1,1,0,100000,1),"&lt;&gt;")/COUNTIF(OFFSET('Data (paste export here)'!$B$1,1,0,100000,1),"&lt;&gt;")*100,0)))</f>
        <v/>
      </c>
      <c r="G13" s="41">
        <f>IF(AND($I13&gt;0,ISNUMBER(SEARCH($J13,INDEX('Data (paste export here)'!$1:$1,$I13)))),"✓","✗")</f>
        <v/>
      </c>
      <c r="H13" s="20" t="inlineStr">
        <is>
          <t>Q320[SQ002]</t>
        </is>
      </c>
      <c r="I13" s="20">
        <f>SUMPRODUCT((--ISNUMBER(SEARCH($H13,'Data (paste export here)'!$A$1:$HZ$1)))*COLUMN('Data (paste export here)'!$A$1:$HZ$1))</f>
        <v/>
      </c>
      <c r="J13" s="20" t="inlineStr">
        <is>
          <t>Runs penetration tests and periodic threat assessments for open source software</t>
        </is>
      </c>
      <c r="K13" s="20" t="inlineStr">
        <is>
          <t>Q320</t>
        </is>
      </c>
    </row>
    <row r="14" ht="15" customHeight="1" s="21">
      <c r="A14" s="41" t="inlineStr">
        <is>
          <t>Q320·SQ003</t>
        </is>
      </c>
      <c r="B14" s="40" t="inlineStr">
        <is>
          <t>Provides security training for teams working on open source software</t>
        </is>
      </c>
      <c r="C14" s="41" t="inlineStr">
        <is>
          <t>Maturity</t>
        </is>
      </c>
      <c r="D14" s="41" t="inlineStr">
        <is>
          <t>L2</t>
        </is>
      </c>
      <c r="E14" s="41" t="n">
        <v>5</v>
      </c>
      <c r="F14" s="32">
        <f>IF($I14=0,"",IF(COUNTIF(OFFSET('Data (paste export here)'!$B$1,1,0,100000,1),"&lt;&gt;")=0,"",ROUND(COUNTIFS(OFFSET('Data (paste export here)'!$A$1,1,$I14-1,100000,1),"Yes",OFFSET('Data (paste export here)'!$B$1,1,0,100000,1),"&lt;&gt;")/COUNTIF(OFFSET('Data (paste export here)'!$B$1,1,0,100000,1),"&lt;&gt;")*100,0)))</f>
        <v/>
      </c>
      <c r="G14" s="41">
        <f>IF(AND($I14&gt;0,ISNUMBER(SEARCH($J14,INDEX('Data (paste export here)'!$1:$1,$I14)))),"✓","✗")</f>
        <v/>
      </c>
      <c r="H14" s="20" t="inlineStr">
        <is>
          <t>Q320[SQ003]</t>
        </is>
      </c>
      <c r="I14" s="20">
        <f>SUMPRODUCT((--ISNUMBER(SEARCH($H14,'Data (paste export here)'!$A$1:$HZ$1)))*COLUMN('Data (paste export here)'!$A$1:$HZ$1))</f>
        <v/>
      </c>
      <c r="J14" s="20" t="inlineStr">
        <is>
          <t>Provides security training for teams working on open source software</t>
        </is>
      </c>
      <c r="K14" s="20" t="inlineStr">
        <is>
          <t>Q320</t>
        </is>
      </c>
    </row>
    <row r="15" ht="15" customHeight="1" s="21">
      <c r="A15" s="41" t="inlineStr">
        <is>
          <t>Q330·SQ001</t>
        </is>
      </c>
      <c r="B15" s="40" t="inlineStr">
        <is>
          <t>Has a process to choose between open source alternatives</t>
        </is>
      </c>
      <c r="C15" s="41" t="inlineStr">
        <is>
          <t>Maturity</t>
        </is>
      </c>
      <c r="D15" s="41" t="inlineStr">
        <is>
          <t>L2</t>
        </is>
      </c>
      <c r="E15" s="41" t="n">
        <v>6</v>
      </c>
      <c r="F15" s="32">
        <f>IF($I15=0,"",IF(COUNTIF(OFFSET('Data (paste export here)'!$B$1,1,0,100000,1),"&lt;&gt;")=0,"",ROUND(COUNTIFS(OFFSET('Data (paste export here)'!$A$1,1,$I15-1,100000,1),"Yes",OFFSET('Data (paste export here)'!$B$1,1,0,100000,1),"&lt;&gt;")/COUNTIF(OFFSET('Data (paste export here)'!$B$1,1,0,100000,1),"&lt;&gt;")*100,0)))</f>
        <v/>
      </c>
      <c r="G15" s="41">
        <f>IF(AND($I15&gt;0,ISNUMBER(SEARCH($J15,INDEX('Data (paste export here)'!$1:$1,$I15)))),"✓","✗")</f>
        <v/>
      </c>
      <c r="H15" s="20" t="inlineStr">
        <is>
          <t>Q330[SQ001]</t>
        </is>
      </c>
      <c r="I15" s="20">
        <f>SUMPRODUCT((--ISNUMBER(SEARCH($H15,'Data (paste export here)'!$A$1:$HZ$1)))*COLUMN('Data (paste export here)'!$A$1:$HZ$1))</f>
        <v/>
      </c>
      <c r="J15" s="20" t="inlineStr">
        <is>
          <t>Has a process to choose between open source alternatives</t>
        </is>
      </c>
      <c r="K15" s="20" t="inlineStr">
        <is>
          <t>Q330</t>
        </is>
      </c>
    </row>
    <row r="16" ht="15" customHeight="1" s="21">
      <c r="A16" s="41" t="inlineStr">
        <is>
          <t>Q330·SQ002</t>
        </is>
      </c>
      <c r="B16" s="40" t="inlineStr">
        <is>
          <t>Prefers open source solutions over proprietary software where appropriate</t>
        </is>
      </c>
      <c r="C16" s="41" t="inlineStr">
        <is>
          <t>Maturity</t>
        </is>
      </c>
      <c r="D16" s="41" t="inlineStr">
        <is>
          <t>L2</t>
        </is>
      </c>
      <c r="E16" s="41" t="n">
        <v>8</v>
      </c>
      <c r="F16" s="32">
        <f>IF($I16=0,"",IF(COUNTIF(OFFSET('Data (paste export here)'!$B$1,1,0,100000,1),"&lt;&gt;")=0,"",ROUND(COUNTIFS(OFFSET('Data (paste export here)'!$A$1,1,$I16-1,100000,1),"Yes",OFFSET('Data (paste export here)'!$B$1,1,0,100000,1),"&lt;&gt;")/COUNTIF(OFFSET('Data (paste export here)'!$B$1,1,0,100000,1),"&lt;&gt;")*100,0)))</f>
        <v/>
      </c>
      <c r="G16" s="41">
        <f>IF(AND($I16&gt;0,ISNUMBER(SEARCH($J16,INDEX('Data (paste export here)'!$1:$1,$I16)))),"✓","✗")</f>
        <v/>
      </c>
      <c r="H16" s="20" t="inlineStr">
        <is>
          <t>Q330[SQ002]</t>
        </is>
      </c>
      <c r="I16" s="20">
        <f>SUMPRODUCT((--ISNUMBER(SEARCH($H16,'Data (paste export here)'!$A$1:$HZ$1)))*COLUMN('Data (paste export here)'!$A$1:$HZ$1))</f>
        <v/>
      </c>
      <c r="J16" s="20" t="inlineStr">
        <is>
          <t>Prefers open source solutions over proprietary software where appropriate</t>
        </is>
      </c>
      <c r="K16" s="20" t="inlineStr">
        <is>
          <t>Q330</t>
        </is>
      </c>
    </row>
    <row r="17" ht="15" customHeight="1" s="21">
      <c r="A17" s="41" t="inlineStr">
        <is>
          <t>Q330·SQ003</t>
        </is>
      </c>
      <c r="B17" s="40" t="inlineStr">
        <is>
          <t>Applies open source criteria in procurement decisions</t>
        </is>
      </c>
      <c r="C17" s="41" t="inlineStr">
        <is>
          <t>Maturity</t>
        </is>
      </c>
      <c r="D17" s="41" t="inlineStr">
        <is>
          <t>L2</t>
        </is>
      </c>
      <c r="E17" s="41" t="n">
        <v>6</v>
      </c>
      <c r="F17" s="32">
        <f>IF($I17=0,"",IF(COUNTIF(OFFSET('Data (paste export here)'!$B$1,1,0,100000,1),"&lt;&gt;")=0,"",ROUND(COUNTIFS(OFFSET('Data (paste export here)'!$A$1,1,$I17-1,100000,1),"Yes",OFFSET('Data (paste export here)'!$B$1,1,0,100000,1),"&lt;&gt;")/COUNTIF(OFFSET('Data (paste export here)'!$B$1,1,0,100000,1),"&lt;&gt;")*100,0)))</f>
        <v/>
      </c>
      <c r="G17" s="41">
        <f>IF(AND($I17&gt;0,ISNUMBER(SEARCH($J17,INDEX('Data (paste export here)'!$1:$1,$I17)))),"✓","✗")</f>
        <v/>
      </c>
      <c r="H17" s="20" t="inlineStr">
        <is>
          <t>Q330[SQ003]</t>
        </is>
      </c>
      <c r="I17" s="20">
        <f>SUMPRODUCT((--ISNUMBER(SEARCH($H17,'Data (paste export here)'!$A$1:$HZ$1)))*COLUMN('Data (paste export here)'!$A$1:$HZ$1))</f>
        <v/>
      </c>
      <c r="J17" s="20" t="inlineStr">
        <is>
          <t>Applies open source criteria in procurement decisions</t>
        </is>
      </c>
      <c r="K17" s="20" t="inlineStr">
        <is>
          <t>Q330</t>
        </is>
      </c>
    </row>
    <row r="18" ht="15" customHeight="1" s="21">
      <c r="A18" s="41" t="inlineStr">
        <is>
          <t>Q330·SQ004</t>
        </is>
      </c>
      <c r="B18" s="40" t="inlineStr">
        <is>
          <t>Has a procurement process that doesn't hinder open source use</t>
        </is>
      </c>
      <c r="C18" s="41" t="inlineStr">
        <is>
          <t>Maturity</t>
        </is>
      </c>
      <c r="D18" s="41" t="inlineStr">
        <is>
          <t>L2</t>
        </is>
      </c>
      <c r="E18" s="41" t="n">
        <v>6</v>
      </c>
      <c r="F18" s="32">
        <f>IF($I18=0,"",IF(COUNTIF(OFFSET('Data (paste export here)'!$B$1,1,0,100000,1),"&lt;&gt;")=0,"",ROUND(COUNTIFS(OFFSET('Data (paste export here)'!$A$1,1,$I18-1,100000,1),"Yes",OFFSET('Data (paste export here)'!$B$1,1,0,100000,1),"&lt;&gt;")/COUNTIF(OFFSET('Data (paste export here)'!$B$1,1,0,100000,1),"&lt;&gt;")*100,0)))</f>
        <v/>
      </c>
      <c r="G18" s="41">
        <f>IF(AND($I18&gt;0,ISNUMBER(SEARCH($J18,INDEX('Data (paste export here)'!$1:$1,$I18)))),"✓","✗")</f>
        <v/>
      </c>
      <c r="H18" s="20" t="inlineStr">
        <is>
          <t>Q330[SQ004]</t>
        </is>
      </c>
      <c r="I18" s="20">
        <f>SUMPRODUCT((--ISNUMBER(SEARCH($H18,'Data (paste export here)'!$A$1:$HZ$1)))*COLUMN('Data (paste export here)'!$A$1:$HZ$1))</f>
        <v/>
      </c>
      <c r="J18" s="20" t="inlineStr">
        <is>
          <t>Has a procurement process that doesn't hinder open source use</t>
        </is>
      </c>
      <c r="K18" s="20" t="inlineStr">
        <is>
          <t>Q330</t>
        </is>
      </c>
    </row>
    <row r="19" ht="15" customHeight="1" s="21">
      <c r="A19" s="41" t="inlineStr">
        <is>
          <t>Q330·SQ005</t>
        </is>
      </c>
      <c r="B19" s="40" t="inlineStr">
        <is>
          <t>Maintains a software asset registry / inventory</t>
        </is>
      </c>
      <c r="C19" s="41" t="inlineStr">
        <is>
          <t>Maturity</t>
        </is>
      </c>
      <c r="D19" s="41" t="inlineStr">
        <is>
          <t>L2</t>
        </is>
      </c>
      <c r="E19" s="41" t="n">
        <v>5</v>
      </c>
      <c r="F19" s="32">
        <f>IF($I19=0,"",IF(COUNTIF(OFFSET('Data (paste export here)'!$B$1,1,0,100000,1),"&lt;&gt;")=0,"",ROUND(COUNTIFS(OFFSET('Data (paste export here)'!$A$1,1,$I19-1,100000,1),"Yes",OFFSET('Data (paste export here)'!$B$1,1,0,100000,1),"&lt;&gt;")/COUNTIF(OFFSET('Data (paste export here)'!$B$1,1,0,100000,1),"&lt;&gt;")*100,0)))</f>
        <v/>
      </c>
      <c r="G19" s="41">
        <f>IF(AND($I19&gt;0,ISNUMBER(SEARCH($J19,INDEX('Data (paste export here)'!$1:$1,$I19)))),"✓","✗")</f>
        <v/>
      </c>
      <c r="H19" s="20" t="inlineStr">
        <is>
          <t>Q330[SQ005]</t>
        </is>
      </c>
      <c r="I19" s="20">
        <f>SUMPRODUCT((--ISNUMBER(SEARCH($H19,'Data (paste export here)'!$A$1:$HZ$1)))*COLUMN('Data (paste export here)'!$A$1:$HZ$1))</f>
        <v/>
      </c>
      <c r="J19" s="20" t="inlineStr">
        <is>
          <t>Maintains a software asset registry / inventory</t>
        </is>
      </c>
      <c r="K19" s="20" t="inlineStr">
        <is>
          <t>Q330</t>
        </is>
      </c>
    </row>
    <row r="20" ht="15" customHeight="1" s="21">
      <c r="A20" s="41" t="inlineStr">
        <is>
          <t>Q330·SQ006</t>
        </is>
      </c>
      <c r="B20" s="40" t="inlineStr">
        <is>
          <t>Provides internal training on open source usage policies and procedures</t>
        </is>
      </c>
      <c r="C20" s="41" t="inlineStr">
        <is>
          <t>Maturity</t>
        </is>
      </c>
      <c r="D20" s="41" t="inlineStr">
        <is>
          <t>L2</t>
        </is>
      </c>
      <c r="E20" s="41" t="n">
        <v>4</v>
      </c>
      <c r="F20" s="32">
        <f>IF($I20=0,"",IF(COUNTIF(OFFSET('Data (paste export here)'!$B$1,1,0,100000,1),"&lt;&gt;")=0,"",ROUND(COUNTIFS(OFFSET('Data (paste export here)'!$A$1,1,$I20-1,100000,1),"Yes",OFFSET('Data (paste export here)'!$B$1,1,0,100000,1),"&lt;&gt;")/COUNTIF(OFFSET('Data (paste export here)'!$B$1,1,0,100000,1),"&lt;&gt;")*100,0)))</f>
        <v/>
      </c>
      <c r="G20" s="41">
        <f>IF(AND($I20&gt;0,ISNUMBER(SEARCH($J20,INDEX('Data (paste export here)'!$1:$1,$I20)))),"✓","✗")</f>
        <v/>
      </c>
      <c r="H20" s="20" t="inlineStr">
        <is>
          <t>Q330[SQ006]</t>
        </is>
      </c>
      <c r="I20" s="20">
        <f>SUMPRODUCT((--ISNUMBER(SEARCH($H20,'Data (paste export here)'!$A$1:$HZ$1)))*COLUMN('Data (paste export here)'!$A$1:$HZ$1))</f>
        <v/>
      </c>
      <c r="J20" s="20" t="inlineStr">
        <is>
          <t>Provides internal training on open source usage policies and procedures</t>
        </is>
      </c>
      <c r="K20" s="20" t="inlineStr">
        <is>
          <t>Q330</t>
        </is>
      </c>
    </row>
    <row r="21" ht="15" customHeight="1" s="21">
      <c r="A21" s="41" t="inlineStr">
        <is>
          <t>Q340·SQ001</t>
        </is>
      </c>
      <c r="B21" s="40" t="inlineStr">
        <is>
          <t>Has policies to govern contribution to open source ecosystems</t>
        </is>
      </c>
      <c r="C21" s="41" t="inlineStr">
        <is>
          <t>Maturity</t>
        </is>
      </c>
      <c r="D21" s="41" t="inlineStr">
        <is>
          <t>L3</t>
        </is>
      </c>
      <c r="E21" s="41" t="n">
        <v>8</v>
      </c>
      <c r="F21" s="32">
        <f>IF($I21=0,"",IF(COUNTIF(OFFSET('Data (paste export here)'!$B$1,1,0,100000,1),"&lt;&gt;")=0,"",ROUND(COUNTIFS(OFFSET('Data (paste export here)'!$A$1,1,$I21-1,100000,1),"Yes",OFFSET('Data (paste export here)'!$B$1,1,0,100000,1),"&lt;&gt;")/COUNTIF(OFFSET('Data (paste export here)'!$B$1,1,0,100000,1),"&lt;&gt;")*100,0)))</f>
        <v/>
      </c>
      <c r="G21" s="41">
        <f>IF(AND($I21&gt;0,ISNUMBER(SEARCH($J21,INDEX('Data (paste export here)'!$1:$1,$I21)))),"✓","✗")</f>
        <v/>
      </c>
      <c r="H21" s="20" t="inlineStr">
        <is>
          <t>Q340[SQ001]</t>
        </is>
      </c>
      <c r="I21" s="20">
        <f>SUMPRODUCT((--ISNUMBER(SEARCH($H21,'Data (paste export here)'!$A$1:$HZ$1)))*COLUMN('Data (paste export here)'!$A$1:$HZ$1))</f>
        <v/>
      </c>
      <c r="J21" s="20" t="inlineStr">
        <is>
          <t>Has policies to govern contribution to open source ecosystems</t>
        </is>
      </c>
      <c r="K21" s="20" t="inlineStr">
        <is>
          <t>Q340</t>
        </is>
      </c>
    </row>
    <row r="22" ht="15" customHeight="1" s="21">
      <c r="A22" s="41" t="inlineStr">
        <is>
          <t>Q340·SQ002</t>
        </is>
      </c>
      <c r="B22" s="40" t="inlineStr">
        <is>
          <t>Has a clear policy for how staff publish or contribute to open source projects</t>
        </is>
      </c>
      <c r="C22" s="41" t="inlineStr">
        <is>
          <t>Maturity</t>
        </is>
      </c>
      <c r="D22" s="41" t="inlineStr">
        <is>
          <t>L3</t>
        </is>
      </c>
      <c r="E22" s="41" t="n">
        <v>8</v>
      </c>
      <c r="F22" s="32">
        <f>IF($I22=0,"",IF(COUNTIF(OFFSET('Data (paste export here)'!$B$1,1,0,100000,1),"&lt;&gt;")=0,"",ROUND(COUNTIFS(OFFSET('Data (paste export here)'!$A$1,1,$I22-1,100000,1),"Yes",OFFSET('Data (paste export here)'!$B$1,1,0,100000,1),"&lt;&gt;")/COUNTIF(OFFSET('Data (paste export here)'!$B$1,1,0,100000,1),"&lt;&gt;")*100,0)))</f>
        <v/>
      </c>
      <c r="G22" s="41">
        <f>IF(AND($I22&gt;0,ISNUMBER(SEARCH($J22,INDEX('Data (paste export here)'!$1:$1,$I22)))),"✓","✗")</f>
        <v/>
      </c>
      <c r="H22" s="20" t="inlineStr">
        <is>
          <t>Q340[SQ002]</t>
        </is>
      </c>
      <c r="I22" s="20">
        <f>SUMPRODUCT((--ISNUMBER(SEARCH($H22,'Data (paste export here)'!$A$1:$HZ$1)))*COLUMN('Data (paste export here)'!$A$1:$HZ$1))</f>
        <v/>
      </c>
      <c r="J22" s="20" t="inlineStr">
        <is>
          <t>Has a clear policy for how staff publish or contribute to open source projects</t>
        </is>
      </c>
      <c r="K22" s="20" t="inlineStr">
        <is>
          <t>Q340</t>
        </is>
      </c>
    </row>
    <row r="23" ht="15" customHeight="1" s="21">
      <c r="A23" s="41" t="inlineStr">
        <is>
          <t>Q340·SQ003</t>
        </is>
      </c>
      <c r="B23" s="40" t="inlineStr">
        <is>
          <t>Has processes that support open source contribution</t>
        </is>
      </c>
      <c r="C23" s="41" t="inlineStr">
        <is>
          <t>Maturity</t>
        </is>
      </c>
      <c r="D23" s="41" t="inlineStr">
        <is>
          <t>L3</t>
        </is>
      </c>
      <c r="E23" s="41" t="n">
        <v>8</v>
      </c>
      <c r="F23" s="32">
        <f>IF($I23=0,"",IF(COUNTIF(OFFSET('Data (paste export here)'!$B$1,1,0,100000,1),"&lt;&gt;")=0,"",ROUND(COUNTIFS(OFFSET('Data (paste export here)'!$A$1,1,$I23-1,100000,1),"Yes",OFFSET('Data (paste export here)'!$B$1,1,0,100000,1),"&lt;&gt;")/COUNTIF(OFFSET('Data (paste export here)'!$B$1,1,0,100000,1),"&lt;&gt;")*100,0)))</f>
        <v/>
      </c>
      <c r="G23" s="41">
        <f>IF(AND($I23&gt;0,ISNUMBER(SEARCH($J23,INDEX('Data (paste export here)'!$1:$1,$I23)))),"✓","✗")</f>
        <v/>
      </c>
      <c r="H23" s="20" t="inlineStr">
        <is>
          <t>Q340[SQ003]</t>
        </is>
      </c>
      <c r="I23" s="20">
        <f>SUMPRODUCT((--ISNUMBER(SEARCH($H23,'Data (paste export here)'!$A$1:$HZ$1)))*COLUMN('Data (paste export here)'!$A$1:$HZ$1))</f>
        <v/>
      </c>
      <c r="J23" s="20" t="inlineStr">
        <is>
          <t>Has processes that support open source contribution</t>
        </is>
      </c>
      <c r="K23" s="20" t="inlineStr">
        <is>
          <t>Q340</t>
        </is>
      </c>
    </row>
    <row r="24" ht="15" customHeight="1" s="21">
      <c r="A24" s="41" t="inlineStr">
        <is>
          <t>Q340·SQ004</t>
        </is>
      </c>
      <c r="B24" s="40" t="inlineStr">
        <is>
          <t>Has a review process for code and non-code contributions</t>
        </is>
      </c>
      <c r="C24" s="41" t="inlineStr">
        <is>
          <t>Maturity</t>
        </is>
      </c>
      <c r="D24" s="41" t="inlineStr">
        <is>
          <t>L3</t>
        </is>
      </c>
      <c r="E24" s="41" t="n">
        <v>8</v>
      </c>
      <c r="F24" s="32">
        <f>IF($I24=0,"",IF(COUNTIF(OFFSET('Data (paste export here)'!$B$1,1,0,100000,1),"&lt;&gt;")=0,"",ROUND(COUNTIFS(OFFSET('Data (paste export here)'!$A$1,1,$I24-1,100000,1),"Yes",OFFSET('Data (paste export here)'!$B$1,1,0,100000,1),"&lt;&gt;")/COUNTIF(OFFSET('Data (paste export here)'!$B$1,1,0,100000,1),"&lt;&gt;")*100,0)))</f>
        <v/>
      </c>
      <c r="G24" s="41">
        <f>IF(AND($I24&gt;0,ISNUMBER(SEARCH($J24,INDEX('Data (paste export here)'!$1:$1,$I24)))),"✓","✗")</f>
        <v/>
      </c>
      <c r="H24" s="20" t="inlineStr">
        <is>
          <t>Q340[SQ004]</t>
        </is>
      </c>
      <c r="I24" s="20">
        <f>SUMPRODUCT((--ISNUMBER(SEARCH($H24,'Data (paste export here)'!$A$1:$HZ$1)))*COLUMN('Data (paste export here)'!$A$1:$HZ$1))</f>
        <v/>
      </c>
      <c r="J24" s="20" t="inlineStr">
        <is>
          <t>Has a review process for code and non-code contributions</t>
        </is>
      </c>
      <c r="K24" s="20" t="inlineStr">
        <is>
          <t>Q340</t>
        </is>
      </c>
    </row>
    <row r="25" ht="15" customHeight="1" s="21">
      <c r="A25" s="41" t="inlineStr">
        <is>
          <t>Q340·SQ005</t>
        </is>
      </c>
      <c r="B25" s="40" t="inlineStr">
        <is>
          <t>Has a lifecycle process for engaging with open source projects</t>
        </is>
      </c>
      <c r="C25" s="41" t="inlineStr">
        <is>
          <t>Maturity</t>
        </is>
      </c>
      <c r="D25" s="41" t="inlineStr">
        <is>
          <t>L3</t>
        </is>
      </c>
      <c r="E25" s="41" t="n">
        <v>3</v>
      </c>
      <c r="F25" s="32">
        <f>IF($I25=0,"",IF(COUNTIF(OFFSET('Data (paste export here)'!$B$1,1,0,100000,1),"&lt;&gt;")=0,"",ROUND(COUNTIFS(OFFSET('Data (paste export here)'!$A$1,1,$I25-1,100000,1),"Yes",OFFSET('Data (paste export here)'!$B$1,1,0,100000,1),"&lt;&gt;")/COUNTIF(OFFSET('Data (paste export here)'!$B$1,1,0,100000,1),"&lt;&gt;")*100,0)))</f>
        <v/>
      </c>
      <c r="G25" s="41">
        <f>IF(AND($I25&gt;0,ISNUMBER(SEARCH($J25,INDEX('Data (paste export here)'!$1:$1,$I25)))),"✓","✗")</f>
        <v/>
      </c>
      <c r="H25" s="20" t="inlineStr">
        <is>
          <t>Q340[SQ005]</t>
        </is>
      </c>
      <c r="I25" s="20">
        <f>SUMPRODUCT((--ISNUMBER(SEARCH($H25,'Data (paste export here)'!$A$1:$HZ$1)))*COLUMN('Data (paste export here)'!$A$1:$HZ$1))</f>
        <v/>
      </c>
      <c r="J25" s="20" t="inlineStr">
        <is>
          <t>Has a lifecycle process for engaging with open source projects</t>
        </is>
      </c>
      <c r="K25" s="20" t="inlineStr">
        <is>
          <t>Q340</t>
        </is>
      </c>
    </row>
    <row r="26" ht="15" customHeight="1" s="21">
      <c r="A26" s="41" t="inlineStr">
        <is>
          <t>Q350·SQ001</t>
        </is>
      </c>
      <c r="B26" s="40" t="inlineStr">
        <is>
          <t>Promotes and rewards contribution to open source projects</t>
        </is>
      </c>
      <c r="C26" s="41" t="inlineStr">
        <is>
          <t>Maturity</t>
        </is>
      </c>
      <c r="D26" s="41" t="inlineStr">
        <is>
          <t>L3</t>
        </is>
      </c>
      <c r="E26" s="41" t="n">
        <v>8</v>
      </c>
      <c r="F26" s="32">
        <f>IF($I26=0,"",IF(COUNTIF(OFFSET('Data (paste export here)'!$B$1,1,0,100000,1),"&lt;&gt;")=0,"",ROUND(COUNTIFS(OFFSET('Data (paste export here)'!$A$1,1,$I26-1,100000,1),"Yes",OFFSET('Data (paste export here)'!$B$1,1,0,100000,1),"&lt;&gt;")/COUNTIF(OFFSET('Data (paste export here)'!$B$1,1,0,100000,1),"&lt;&gt;")*100,0)))</f>
        <v/>
      </c>
      <c r="G26" s="41">
        <f>IF(AND($I26&gt;0,ISNUMBER(SEARCH($J26,INDEX('Data (paste export here)'!$1:$1,$I26)))),"✓","✗")</f>
        <v/>
      </c>
      <c r="H26" s="20" t="inlineStr">
        <is>
          <t>Q350[SQ001]</t>
        </is>
      </c>
      <c r="I26" s="20">
        <f>SUMPRODUCT((--ISNUMBER(SEARCH($H26,'Data (paste export here)'!$A$1:$HZ$1)))*COLUMN('Data (paste export here)'!$A$1:$HZ$1))</f>
        <v/>
      </c>
      <c r="J26" s="20" t="inlineStr">
        <is>
          <t>Promotes and rewards contribution to open source projects</t>
        </is>
      </c>
      <c r="K26" s="20" t="inlineStr">
        <is>
          <t>Q350</t>
        </is>
      </c>
    </row>
    <row r="27" ht="15" customHeight="1" s="21">
      <c r="A27" s="41" t="inlineStr">
        <is>
          <t>Q350·SQ002</t>
        </is>
      </c>
      <c r="B27" s="40" t="inlineStr">
        <is>
          <t>Tracks staff or members' open source contributions</t>
        </is>
      </c>
      <c r="C27" s="41" t="inlineStr">
        <is>
          <t>Maturity</t>
        </is>
      </c>
      <c r="D27" s="41" t="inlineStr">
        <is>
          <t>L3</t>
        </is>
      </c>
      <c r="E27" s="41" t="n">
        <v>10</v>
      </c>
      <c r="F27" s="32">
        <f>IF($I27=0,"",IF(COUNTIF(OFFSET('Data (paste export here)'!$B$1,1,0,100000,1),"&lt;&gt;")=0,"",ROUND(COUNTIFS(OFFSET('Data (paste export here)'!$A$1,1,$I27-1,100000,1),"Yes",OFFSET('Data (paste export here)'!$B$1,1,0,100000,1),"&lt;&gt;")/COUNTIF(OFFSET('Data (paste export here)'!$B$1,1,0,100000,1),"&lt;&gt;")*100,0)))</f>
        <v/>
      </c>
      <c r="G27" s="41">
        <f>IF(AND($I27&gt;0,ISNUMBER(SEARCH($J27,INDEX('Data (paste export here)'!$1:$1,$I27)))),"✓","✗")</f>
        <v/>
      </c>
      <c r="H27" s="20" t="inlineStr">
        <is>
          <t>Q350[SQ002]</t>
        </is>
      </c>
      <c r="I27" s="20">
        <f>SUMPRODUCT((--ISNUMBER(SEARCH($H27,'Data (paste export here)'!$A$1:$HZ$1)))*COLUMN('Data (paste export here)'!$A$1:$HZ$1))</f>
        <v/>
      </c>
      <c r="J27" s="20" t="inlineStr">
        <is>
          <t>Tracks staff or members' open source contributions</t>
        </is>
      </c>
      <c r="K27" s="20" t="inlineStr">
        <is>
          <t>Q350</t>
        </is>
      </c>
    </row>
    <row r="28" ht="15" customHeight="1" s="21">
      <c r="A28" s="41" t="inlineStr">
        <is>
          <t>Q350·SQ003</t>
        </is>
      </c>
      <c r="B28" s="40" t="inlineStr">
        <is>
          <t>Maintains an inventory of open source projects created within UNO</t>
        </is>
      </c>
      <c r="C28" s="41" t="inlineStr">
        <is>
          <t>Maturity</t>
        </is>
      </c>
      <c r="D28" s="41" t="inlineStr">
        <is>
          <t>L4</t>
        </is>
      </c>
      <c r="E28" s="41" t="n">
        <v>10</v>
      </c>
      <c r="F28" s="32">
        <f>IF($I28=0,"",IF(COUNTIF(OFFSET('Data (paste export here)'!$B$1,1,0,100000,1),"&lt;&gt;")=0,"",ROUND(COUNTIFS(OFFSET('Data (paste export here)'!$A$1,1,$I28-1,100000,1),"Yes",OFFSET('Data (paste export here)'!$B$1,1,0,100000,1),"&lt;&gt;")/COUNTIF(OFFSET('Data (paste export here)'!$B$1,1,0,100000,1),"&lt;&gt;")*100,0)))</f>
        <v/>
      </c>
      <c r="G28" s="41">
        <f>IF(AND($I28&gt;0,ISNUMBER(SEARCH($J28,INDEX('Data (paste export here)'!$1:$1,$I28)))),"✓","✗")</f>
        <v/>
      </c>
      <c r="H28" s="20" t="inlineStr">
        <is>
          <t>Q350[SQ003]</t>
        </is>
      </c>
      <c r="I28" s="20">
        <f>SUMPRODUCT((--ISNUMBER(SEARCH($H28,'Data (paste export here)'!$A$1:$HZ$1)))*COLUMN('Data (paste export here)'!$A$1:$HZ$1))</f>
        <v/>
      </c>
      <c r="J28" s="20" t="inlineStr">
        <is>
          <t>Maintains an inventory of open source projects created within UNO</t>
        </is>
      </c>
      <c r="K28" s="20" t="inlineStr">
        <is>
          <t>Q350</t>
        </is>
      </c>
    </row>
    <row r="29" ht="15" customHeight="1" s="21">
      <c r="A29" s="41" t="inlineStr">
        <is>
          <t>Q350·SQ004</t>
        </is>
      </c>
      <c r="B29" s="40" t="inlineStr">
        <is>
          <t>Fosters outreach for the visibility of its open source projects</t>
        </is>
      </c>
      <c r="C29" s="41" t="inlineStr">
        <is>
          <t>Maturity</t>
        </is>
      </c>
      <c r="D29" s="41" t="inlineStr">
        <is>
          <t>L3</t>
        </is>
      </c>
      <c r="E29" s="41" t="n">
        <v>12</v>
      </c>
      <c r="F29" s="32">
        <f>IF($I29=0,"",IF(COUNTIF(OFFSET('Data (paste export here)'!$B$1,1,0,100000,1),"&lt;&gt;")=0,"",ROUND(COUNTIFS(OFFSET('Data (paste export here)'!$A$1,1,$I29-1,100000,1),"Yes",OFFSET('Data (paste export here)'!$B$1,1,0,100000,1),"&lt;&gt;")/COUNTIF(OFFSET('Data (paste export here)'!$B$1,1,0,100000,1),"&lt;&gt;")*100,0)))</f>
        <v/>
      </c>
      <c r="G29" s="41">
        <f>IF(AND($I29&gt;0,ISNUMBER(SEARCH($J29,INDEX('Data (paste export here)'!$1:$1,$I29)))),"✓","✗")</f>
        <v/>
      </c>
      <c r="H29" s="20" t="inlineStr">
        <is>
          <t>Q350[SQ004]</t>
        </is>
      </c>
      <c r="I29" s="20">
        <f>SUMPRODUCT((--ISNUMBER(SEARCH($H29,'Data (paste export here)'!$A$1:$HZ$1)))*COLUMN('Data (paste export here)'!$A$1:$HZ$1))</f>
        <v/>
      </c>
      <c r="J29" s="20" t="inlineStr">
        <is>
          <t>Fosters outreach for the visibility of its open source projects</t>
        </is>
      </c>
      <c r="K29" s="20" t="inlineStr">
        <is>
          <t>Q350</t>
        </is>
      </c>
    </row>
    <row r="30" ht="15" customHeight="1" s="21">
      <c r="A30" s="41" t="inlineStr">
        <is>
          <t>Q350·SQ005</t>
        </is>
      </c>
      <c r="B30" s="40" t="inlineStr">
        <is>
          <t>Engages marketing / communications in open source publishing efforts</t>
        </is>
      </c>
      <c r="C30" s="41" t="inlineStr">
        <is>
          <t>Maturity</t>
        </is>
      </c>
      <c r="D30" s="41" t="inlineStr">
        <is>
          <t>L3</t>
        </is>
      </c>
      <c r="E30" s="41" t="n">
        <v>12</v>
      </c>
      <c r="F30" s="32">
        <f>IF($I30=0,"",IF(COUNTIF(OFFSET('Data (paste export here)'!$B$1,1,0,100000,1),"&lt;&gt;")=0,"",ROUND(COUNTIFS(OFFSET('Data (paste export here)'!$A$1,1,$I30-1,100000,1),"Yes",OFFSET('Data (paste export here)'!$B$1,1,0,100000,1),"&lt;&gt;")/COUNTIF(OFFSET('Data (paste export here)'!$B$1,1,0,100000,1),"&lt;&gt;")*100,0)))</f>
        <v/>
      </c>
      <c r="G30" s="41">
        <f>IF(AND($I30&gt;0,ISNUMBER(SEARCH($J30,INDEX('Data (paste export here)'!$1:$1,$I30)))),"✓","✗")</f>
        <v/>
      </c>
      <c r="H30" s="20" t="inlineStr">
        <is>
          <t>Q350[SQ005]</t>
        </is>
      </c>
      <c r="I30" s="20">
        <f>SUMPRODUCT((--ISNUMBER(SEARCH($H30,'Data (paste export here)'!$A$1:$HZ$1)))*COLUMN('Data (paste export here)'!$A$1:$HZ$1))</f>
        <v/>
      </c>
      <c r="J30" s="20" t="inlineStr">
        <is>
          <t>Engages marketing / communications in open source publishing efforts</t>
        </is>
      </c>
      <c r="K30" s="20" t="inlineStr">
        <is>
          <t>Q350</t>
        </is>
      </c>
    </row>
    <row r="31" ht="15" customHeight="1" s="21">
      <c r="A31" s="41" t="inlineStr">
        <is>
          <t>Q360·SQ001</t>
        </is>
      </c>
      <c r="B31" s="40" t="inlineStr">
        <is>
          <t>Has a defined process for open-sourcing internal projects</t>
        </is>
      </c>
      <c r="C31" s="41" t="inlineStr">
        <is>
          <t>Maturity</t>
        </is>
      </c>
      <c r="D31" s="41" t="inlineStr">
        <is>
          <t>L4</t>
        </is>
      </c>
      <c r="E31" s="41" t="n">
        <v>7</v>
      </c>
      <c r="F31" s="32">
        <f>IF($I31=0,"",IF(COUNTIF(OFFSET('Data (paste export here)'!$B$1,1,0,100000,1),"&lt;&gt;")=0,"",ROUND(COUNTIFS(OFFSET('Data (paste export here)'!$A$1,1,$I31-1,100000,1),"Yes",OFFSET('Data (paste export here)'!$B$1,1,0,100000,1),"&lt;&gt;")/COUNTIF(OFFSET('Data (paste export here)'!$B$1,1,0,100000,1),"&lt;&gt;")*100,0)))</f>
        <v/>
      </c>
      <c r="G31" s="41">
        <f>IF(AND($I31&gt;0,ISNUMBER(SEARCH($J31,INDEX('Data (paste export here)'!$1:$1,$I31)))),"✓","✗")</f>
        <v/>
      </c>
      <c r="H31" s="20" t="inlineStr">
        <is>
          <t>Q360[SQ001]</t>
        </is>
      </c>
      <c r="I31" s="20">
        <f>SUMPRODUCT((--ISNUMBER(SEARCH($H31,'Data (paste export here)'!$A$1:$HZ$1)))*COLUMN('Data (paste export here)'!$A$1:$HZ$1))</f>
        <v/>
      </c>
      <c r="J31" s="20" t="inlineStr">
        <is>
          <t>Has a defined process for open-sourcing internal projects</t>
        </is>
      </c>
      <c r="K31" s="20" t="inlineStr">
        <is>
          <t>Q360</t>
        </is>
      </c>
    </row>
    <row r="32" ht="15" customHeight="1" s="21">
      <c r="A32" s="41" t="inlineStr">
        <is>
          <t>Q360·SQ002</t>
        </is>
      </c>
      <c r="B32" s="40" t="inlineStr">
        <is>
          <t>Holds maintainer status on one or more open source projects</t>
        </is>
      </c>
      <c r="C32" s="41" t="inlineStr">
        <is>
          <t>Maturity</t>
        </is>
      </c>
      <c r="D32" s="41" t="inlineStr">
        <is>
          <t>L4</t>
        </is>
      </c>
      <c r="E32" s="41" t="n">
        <v>3</v>
      </c>
      <c r="F32" s="32">
        <f>IF($I32=0,"",IF(COUNTIF(OFFSET('Data (paste export here)'!$B$1,1,0,100000,1),"&lt;&gt;")=0,"",ROUND(COUNTIFS(OFFSET('Data (paste export here)'!$A$1,1,$I32-1,100000,1),"Yes",OFFSET('Data (paste export here)'!$B$1,1,0,100000,1),"&lt;&gt;")/COUNTIF(OFFSET('Data (paste export here)'!$B$1,1,0,100000,1),"&lt;&gt;")*100,0)))</f>
        <v/>
      </c>
      <c r="G32" s="41">
        <f>IF(AND($I32&gt;0,ISNUMBER(SEARCH($J32,INDEX('Data (paste export here)'!$1:$1,$I32)))),"✓","✗")</f>
        <v/>
      </c>
      <c r="H32" s="20" t="inlineStr">
        <is>
          <t>Q360[SQ002]</t>
        </is>
      </c>
      <c r="I32" s="20">
        <f>SUMPRODUCT((--ISNUMBER(SEARCH($H32,'Data (paste export here)'!$A$1:$HZ$1)))*COLUMN('Data (paste export here)'!$A$1:$HZ$1))</f>
        <v/>
      </c>
      <c r="J32" s="20" t="inlineStr">
        <is>
          <t>Holds maintainer status on one or more open source projects</t>
        </is>
      </c>
      <c r="K32" s="20" t="inlineStr">
        <is>
          <t>Q360</t>
        </is>
      </c>
    </row>
    <row r="33" ht="15" customHeight="1" s="21">
      <c r="A33" s="41" t="inlineStr">
        <is>
          <t>Q360·SQ003</t>
        </is>
      </c>
      <c r="B33" s="40" t="inlineStr">
        <is>
          <t>Measures the health of the open source projects it maintains</t>
        </is>
      </c>
      <c r="C33" s="41" t="inlineStr">
        <is>
          <t>Maturity</t>
        </is>
      </c>
      <c r="D33" s="41" t="inlineStr">
        <is>
          <t>L4</t>
        </is>
      </c>
      <c r="E33" s="41" t="n">
        <v>10</v>
      </c>
      <c r="F33" s="32">
        <f>IF($I33=0,"",IF(COUNTIF(OFFSET('Data (paste export here)'!$B$1,1,0,100000,1),"&lt;&gt;")=0,"",ROUND(COUNTIFS(OFFSET('Data (paste export here)'!$A$1,1,$I33-1,100000,1),"Yes",OFFSET('Data (paste export here)'!$B$1,1,0,100000,1),"&lt;&gt;")/COUNTIF(OFFSET('Data (paste export here)'!$B$1,1,0,100000,1),"&lt;&gt;")*100,0)))</f>
        <v/>
      </c>
      <c r="G33" s="41">
        <f>IF(AND($I33&gt;0,ISNUMBER(SEARCH($J33,INDEX('Data (paste export here)'!$1:$1,$I33)))),"✓","✗")</f>
        <v/>
      </c>
      <c r="H33" s="20" t="inlineStr">
        <is>
          <t>Q360[SQ003]</t>
        </is>
      </c>
      <c r="I33" s="20">
        <f>SUMPRODUCT((--ISNUMBER(SEARCH($H33,'Data (paste export here)'!$A$1:$HZ$1)))*COLUMN('Data (paste export here)'!$A$1:$HZ$1))</f>
        <v/>
      </c>
      <c r="J33" s="20" t="inlineStr">
        <is>
          <t>Measures the health of the open source projects it maintains</t>
        </is>
      </c>
      <c r="K33" s="20" t="inlineStr">
        <is>
          <t>Q360</t>
        </is>
      </c>
    </row>
    <row r="34" ht="15" customHeight="1" s="21">
      <c r="A34" s="41" t="inlineStr">
        <is>
          <t>Q360·SQ004</t>
        </is>
      </c>
      <c r="B34" s="40" t="inlineStr">
        <is>
          <t>Tracks the adoption and impact of its research software (downloads, citations, reuse)</t>
        </is>
      </c>
      <c r="C34" s="41" t="inlineStr">
        <is>
          <t>Maturity</t>
        </is>
      </c>
      <c r="D34" s="41" t="inlineStr">
        <is>
          <t>L4</t>
        </is>
      </c>
      <c r="E34" s="41" t="n">
        <v>10</v>
      </c>
      <c r="F34" s="32">
        <f>IF($I34=0,"",IF(COUNTIF(OFFSET('Data (paste export here)'!$B$1,1,0,100000,1),"&lt;&gt;")=0,"",ROUND(COUNTIFS(OFFSET('Data (paste export here)'!$A$1,1,$I34-1,100000,1),"Yes",OFFSET('Data (paste export here)'!$B$1,1,0,100000,1),"&lt;&gt;")/COUNTIF(OFFSET('Data (paste export here)'!$B$1,1,0,100000,1),"&lt;&gt;")*100,0)))</f>
        <v/>
      </c>
      <c r="G34" s="41">
        <f>IF(AND($I34&gt;0,ISNUMBER(SEARCH($J34,INDEX('Data (paste export here)'!$1:$1,$I34)))),"✓","✗")</f>
        <v/>
      </c>
      <c r="H34" s="20" t="inlineStr">
        <is>
          <t>Q360[SQ004]</t>
        </is>
      </c>
      <c r="I34" s="20">
        <f>SUMPRODUCT((--ISNUMBER(SEARCH($H34,'Data (paste export here)'!$A$1:$HZ$1)))*COLUMN('Data (paste export here)'!$A$1:$HZ$1))</f>
        <v/>
      </c>
      <c r="J34" s="20" t="inlineStr">
        <is>
          <t>Tracks the adoption and impact of its research software (downloads, citations, reuse)</t>
        </is>
      </c>
      <c r="K34" s="20" t="inlineStr">
        <is>
          <t>Q360</t>
        </is>
      </c>
    </row>
    <row r="35" ht="15" customHeight="1" s="21">
      <c r="A35" s="41" t="inlineStr">
        <is>
          <t>Q360·SQ005</t>
        </is>
      </c>
      <c r="B35" s="40" t="inlineStr">
        <is>
          <t>Is a member of one or more software foundations</t>
        </is>
      </c>
      <c r="C35" s="41" t="inlineStr">
        <is>
          <t>Maturity</t>
        </is>
      </c>
      <c r="D35" s="41" t="inlineStr">
        <is>
          <t>L4</t>
        </is>
      </c>
      <c r="E35" s="41" t="n">
        <v>2</v>
      </c>
      <c r="F35" s="32">
        <f>IF($I35=0,"",IF(COUNTIF(OFFSET('Data (paste export here)'!$B$1,1,0,100000,1),"&lt;&gt;")=0,"",ROUND(COUNTIFS(OFFSET('Data (paste export here)'!$A$1,1,$I35-1,100000,1),"Yes",OFFSET('Data (paste export here)'!$B$1,1,0,100000,1),"&lt;&gt;")/COUNTIF(OFFSET('Data (paste export here)'!$B$1,1,0,100000,1),"&lt;&gt;")*100,0)))</f>
        <v/>
      </c>
      <c r="G35" s="41">
        <f>IF(AND($I35&gt;0,ISNUMBER(SEARCH($J35,INDEX('Data (paste export here)'!$1:$1,$I35)))),"✓","✗")</f>
        <v/>
      </c>
      <c r="H35" s="20" t="inlineStr">
        <is>
          <t>Q360[SQ005]</t>
        </is>
      </c>
      <c r="I35" s="20">
        <f>SUMPRODUCT((--ISNUMBER(SEARCH($H35,'Data (paste export here)'!$A$1:$HZ$1)))*COLUMN('Data (paste export here)'!$A$1:$HZ$1))</f>
        <v/>
      </c>
      <c r="J35" s="20" t="inlineStr">
        <is>
          <t>Is a member of one or more software foundations</t>
        </is>
      </c>
      <c r="K35" s="20" t="inlineStr">
        <is>
          <t>Q360</t>
        </is>
      </c>
    </row>
    <row r="36" ht="15" customHeight="1" s="21">
      <c r="A36" s="41" t="inlineStr">
        <is>
          <t>Q360·SQ006</t>
        </is>
      </c>
      <c r="B36" s="40" t="inlineStr">
        <is>
          <t>Tracks KPIs / metrics around its open source foundation engagement</t>
        </is>
      </c>
      <c r="C36" s="41" t="inlineStr">
        <is>
          <t>Maturity</t>
        </is>
      </c>
      <c r="D36" s="41" t="inlineStr">
        <is>
          <t>L4</t>
        </is>
      </c>
      <c r="E36" s="41" t="n">
        <v>10</v>
      </c>
      <c r="F36" s="32">
        <f>IF($I36=0,"",IF(COUNTIF(OFFSET('Data (paste export here)'!$B$1,1,0,100000,1),"&lt;&gt;")=0,"",ROUND(COUNTIFS(OFFSET('Data (paste export here)'!$A$1,1,$I36-1,100000,1),"Yes",OFFSET('Data (paste export here)'!$B$1,1,0,100000,1),"&lt;&gt;")/COUNTIF(OFFSET('Data (paste export here)'!$B$1,1,0,100000,1),"&lt;&gt;")*100,0)))</f>
        <v/>
      </c>
      <c r="G36" s="41">
        <f>IF(AND($I36&gt;0,ISNUMBER(SEARCH($J36,INDEX('Data (paste export here)'!$1:$1,$I36)))),"✓","✗")</f>
        <v/>
      </c>
      <c r="H36" s="20" t="inlineStr">
        <is>
          <t>Q360[SQ006]</t>
        </is>
      </c>
      <c r="I36" s="20">
        <f>SUMPRODUCT((--ISNUMBER(SEARCH($H36,'Data (paste export here)'!$A$1:$HZ$1)))*COLUMN('Data (paste export here)'!$A$1:$HZ$1))</f>
        <v/>
      </c>
      <c r="J36" s="20" t="inlineStr">
        <is>
          <t>Tracks KPIs / metrics around its open source foundation engagement</t>
        </is>
      </c>
      <c r="K36" s="20" t="inlineStr">
        <is>
          <t>Q360</t>
        </is>
      </c>
    </row>
    <row r="37" ht="15" customHeight="1" s="21">
      <c r="A37" s="41" t="inlineStr">
        <is>
          <t>Q360·SQ007</t>
        </is>
      </c>
      <c r="B37" s="40" t="inlineStr">
        <is>
          <t>Provides shared development infrastructure (e.g. code hosting, CI/CD) for its open source projects</t>
        </is>
      </c>
      <c r="C37" s="41" t="inlineStr">
        <is>
          <t>Maturity</t>
        </is>
      </c>
      <c r="D37" s="41" t="inlineStr">
        <is>
          <t>L4</t>
        </is>
      </c>
      <c r="E37" s="41" t="n">
        <v>11</v>
      </c>
      <c r="F37" s="32">
        <f>IF($I37=0,"",IF(COUNTIF(OFFSET('Data (paste export here)'!$B$1,1,0,100000,1),"&lt;&gt;")=0,"",ROUND(COUNTIFS(OFFSET('Data (paste export here)'!$A$1,1,$I37-1,100000,1),"Yes",OFFSET('Data (paste export here)'!$B$1,1,0,100000,1),"&lt;&gt;")/COUNTIF(OFFSET('Data (paste export here)'!$B$1,1,0,100000,1),"&lt;&gt;")*100,0)))</f>
        <v/>
      </c>
      <c r="G37" s="41">
        <f>IF(AND($I37&gt;0,ISNUMBER(SEARCH($J37,INDEX('Data (paste export here)'!$1:$1,$I37)))),"✓","✗")</f>
        <v/>
      </c>
      <c r="H37" s="20" t="inlineStr">
        <is>
          <t>Q360[SQ007]</t>
        </is>
      </c>
      <c r="I37" s="20">
        <f>SUMPRODUCT((--ISNUMBER(SEARCH($H37,'Data (paste export here)'!$A$1:$HZ$1)))*COLUMN('Data (paste export here)'!$A$1:$HZ$1))</f>
        <v/>
      </c>
      <c r="J37" s="20" t="inlineStr">
        <is>
          <t>Provides shared development infrastructure (e.g. code hosting, CI/CD) for its open source projects</t>
        </is>
      </c>
      <c r="K37" s="20" t="inlineStr">
        <is>
          <t>Q360</t>
        </is>
      </c>
    </row>
    <row r="38" ht="15" customHeight="1" s="21">
      <c r="A38" s="41" t="inlineStr">
        <is>
          <t>Q360·SQ008</t>
        </is>
      </c>
      <c r="B38" s="40" t="inlineStr">
        <is>
          <t>Offers compute or storage resources to support open source development</t>
        </is>
      </c>
      <c r="C38" s="41" t="inlineStr">
        <is>
          <t>Maturity</t>
        </is>
      </c>
      <c r="D38" s="41" t="inlineStr">
        <is>
          <t>L4</t>
        </is>
      </c>
      <c r="E38" s="41" t="n">
        <v>11</v>
      </c>
      <c r="F38" s="32">
        <f>IF($I38=0,"",IF(COUNTIF(OFFSET('Data (paste export here)'!$B$1,1,0,100000,1),"&lt;&gt;")=0,"",ROUND(COUNTIFS(OFFSET('Data (paste export here)'!$A$1,1,$I38-1,100000,1),"Yes",OFFSET('Data (paste export here)'!$B$1,1,0,100000,1),"&lt;&gt;")/COUNTIF(OFFSET('Data (paste export here)'!$B$1,1,0,100000,1),"&lt;&gt;")*100,0)))</f>
        <v/>
      </c>
      <c r="G38" s="41">
        <f>IF(AND($I38&gt;0,ISNUMBER(SEARCH($J38,INDEX('Data (paste export here)'!$1:$1,$I38)))),"✓","✗")</f>
        <v/>
      </c>
      <c r="H38" s="20" t="inlineStr">
        <is>
          <t>Q360[SQ008]</t>
        </is>
      </c>
      <c r="I38" s="20">
        <f>SUMPRODUCT((--ISNUMBER(SEARCH($H38,'Data (paste export here)'!$A$1:$HZ$1)))*COLUMN('Data (paste export here)'!$A$1:$HZ$1))</f>
        <v/>
      </c>
      <c r="J38" s="20" t="inlineStr">
        <is>
          <t>Offers compute or storage resources to support open source development</t>
        </is>
      </c>
      <c r="K38" s="20" t="inlineStr">
        <is>
          <t>Q360</t>
        </is>
      </c>
    </row>
    <row r="39" ht="15" customHeight="1" s="21">
      <c r="A39" s="41" t="inlineStr">
        <is>
          <t>Q370·SQ001</t>
        </is>
      </c>
      <c r="B39" s="40" t="inlineStr">
        <is>
          <t>Management recognises the benefits of open source</t>
        </is>
      </c>
      <c r="C39" s="41" t="inlineStr">
        <is>
          <t>Maturity</t>
        </is>
      </c>
      <c r="D39" s="41" t="inlineStr">
        <is>
          <t>L3</t>
        </is>
      </c>
      <c r="E39" s="41" t="n">
        <v>8</v>
      </c>
      <c r="F39" s="32">
        <f>IF($I39=0,"",IF(COUNTIF(OFFSET('Data (paste export here)'!$B$1,1,0,100000,1),"&lt;&gt;")=0,"",ROUND(COUNTIFS(OFFSET('Data (paste export here)'!$A$1,1,$I39-1,100000,1),"Yes",OFFSET('Data (paste export here)'!$B$1,1,0,100000,1),"&lt;&gt;")/COUNTIF(OFFSET('Data (paste export here)'!$B$1,1,0,100000,1),"&lt;&gt;")*100,0)))</f>
        <v/>
      </c>
      <c r="G39" s="41">
        <f>IF(AND($I39&gt;0,ISNUMBER(SEARCH($J39,INDEX('Data (paste export here)'!$1:$1,$I39)))),"✓","✗")</f>
        <v/>
      </c>
      <c r="H39" s="20" t="inlineStr">
        <is>
          <t>Q370[SQ001]</t>
        </is>
      </c>
      <c r="I39" s="20">
        <f>SUMPRODUCT((--ISNUMBER(SEARCH($H39,'Data (paste export here)'!$A$1:$HZ$1)))*COLUMN('Data (paste export here)'!$A$1:$HZ$1))</f>
        <v/>
      </c>
      <c r="J39" s="20" t="inlineStr">
        <is>
          <t>Management recognises the benefits of open source</t>
        </is>
      </c>
      <c r="K39" s="20" t="inlineStr">
        <is>
          <t>Q370</t>
        </is>
      </c>
    </row>
    <row r="40" ht="15" customHeight="1" s="21">
      <c r="A40" s="41" t="inlineStr">
        <is>
          <t>Q370·SQ002</t>
        </is>
      </c>
      <c r="B40" s="40" t="inlineStr">
        <is>
          <t>Management understands the cost savings of open source</t>
        </is>
      </c>
      <c r="C40" s="41" t="inlineStr">
        <is>
          <t>Maturity</t>
        </is>
      </c>
      <c r="D40" s="41" t="inlineStr">
        <is>
          <t>L3</t>
        </is>
      </c>
      <c r="E40" s="41" t="n">
        <v>8</v>
      </c>
      <c r="F40" s="32">
        <f>IF($I40=0,"",IF(COUNTIF(OFFSET('Data (paste export here)'!$B$1,1,0,100000,1),"&lt;&gt;")=0,"",ROUND(COUNTIFS(OFFSET('Data (paste export here)'!$A$1,1,$I40-1,100000,1),"Yes",OFFSET('Data (paste export here)'!$B$1,1,0,100000,1),"&lt;&gt;")/COUNTIF(OFFSET('Data (paste export here)'!$B$1,1,0,100000,1),"&lt;&gt;")*100,0)))</f>
        <v/>
      </c>
      <c r="G40" s="41">
        <f>IF(AND($I40&gt;0,ISNUMBER(SEARCH($J40,INDEX('Data (paste export here)'!$1:$1,$I40)))),"✓","✗")</f>
        <v/>
      </c>
      <c r="H40" s="20" t="inlineStr">
        <is>
          <t>Q370[SQ002]</t>
        </is>
      </c>
      <c r="I40" s="20">
        <f>SUMPRODUCT((--ISNUMBER(SEARCH($H40,'Data (paste export here)'!$A$1:$HZ$1)))*COLUMN('Data (paste export here)'!$A$1:$HZ$1))</f>
        <v/>
      </c>
      <c r="J40" s="20" t="inlineStr">
        <is>
          <t>Management understands the cost savings of open source</t>
        </is>
      </c>
      <c r="K40" s="20" t="inlineStr">
        <is>
          <t>Q370</t>
        </is>
      </c>
    </row>
    <row r="41" ht="15" customHeight="1" s="21">
      <c r="A41" s="41" t="inlineStr">
        <is>
          <t>Q370·SQ003</t>
        </is>
      </c>
      <c r="B41" s="40" t="inlineStr">
        <is>
          <t>Defines goals and objectives in an open source strategy</t>
        </is>
      </c>
      <c r="C41" s="41" t="inlineStr">
        <is>
          <t>Maturity</t>
        </is>
      </c>
      <c r="D41" s="41" t="inlineStr">
        <is>
          <t>L5</t>
        </is>
      </c>
      <c r="E41" s="41" t="n">
        <v>1</v>
      </c>
      <c r="F41" s="32">
        <f>IF($I41=0,"",IF(COUNTIF(OFFSET('Data (paste export here)'!$B$1,1,0,100000,1),"&lt;&gt;")=0,"",ROUND(COUNTIFS(OFFSET('Data (paste export here)'!$A$1,1,$I41-1,100000,1),"Yes",OFFSET('Data (paste export here)'!$B$1,1,0,100000,1),"&lt;&gt;")/COUNTIF(OFFSET('Data (paste export here)'!$B$1,1,0,100000,1),"&lt;&gt;")*100,0)))</f>
        <v/>
      </c>
      <c r="G41" s="41">
        <f>IF(AND($I41&gt;0,ISNUMBER(SEARCH($J41,INDEX('Data (paste export here)'!$1:$1,$I41)))),"✓","✗")</f>
        <v/>
      </c>
      <c r="H41" s="20" t="inlineStr">
        <is>
          <t>Q370[SQ003]</t>
        </is>
      </c>
      <c r="I41" s="20">
        <f>SUMPRODUCT((--ISNUMBER(SEARCH($H41,'Data (paste export here)'!$A$1:$HZ$1)))*COLUMN('Data (paste export here)'!$A$1:$HZ$1))</f>
        <v/>
      </c>
      <c r="J41" s="20" t="inlineStr">
        <is>
          <t>Defines goals and objectives in an open source strategy</t>
        </is>
      </c>
      <c r="K41" s="20" t="inlineStr">
        <is>
          <t>Q370</t>
        </is>
      </c>
    </row>
    <row r="42" ht="15" customHeight="1" s="21">
      <c r="A42" s="41" t="inlineStr">
        <is>
          <t>Q370·SQ004</t>
        </is>
      </c>
      <c r="B42" s="40" t="inlineStr">
        <is>
          <t>Connects its open source work to its research mission and impact</t>
        </is>
      </c>
      <c r="C42" s="41" t="inlineStr">
        <is>
          <t>Maturity</t>
        </is>
      </c>
      <c r="D42" s="41" t="inlineStr">
        <is>
          <t>L5</t>
        </is>
      </c>
      <c r="E42" s="41" t="n">
        <v>1</v>
      </c>
      <c r="F42" s="32">
        <f>IF($I42=0,"",IF(COUNTIF(OFFSET('Data (paste export here)'!$B$1,1,0,100000,1),"&lt;&gt;")=0,"",ROUND(COUNTIFS(OFFSET('Data (paste export here)'!$A$1,1,$I42-1,100000,1),"Yes",OFFSET('Data (paste export here)'!$B$1,1,0,100000,1),"&lt;&gt;")/COUNTIF(OFFSET('Data (paste export here)'!$B$1,1,0,100000,1),"&lt;&gt;")*100,0)))</f>
        <v/>
      </c>
      <c r="G42" s="41">
        <f>IF(AND($I42&gt;0,ISNUMBER(SEARCH($J42,INDEX('Data (paste export here)'!$1:$1,$I42)))),"✓","✗")</f>
        <v/>
      </c>
      <c r="H42" s="20" t="inlineStr">
        <is>
          <t>Q370[SQ004]</t>
        </is>
      </c>
      <c r="I42" s="20">
        <f>SUMPRODUCT((--ISNUMBER(SEARCH($H42,'Data (paste export here)'!$A$1:$HZ$1)))*COLUMN('Data (paste export here)'!$A$1:$HZ$1))</f>
        <v/>
      </c>
      <c r="J42" s="20" t="inlineStr">
        <is>
          <t>Connects its open source work to its research mission and impact</t>
        </is>
      </c>
      <c r="K42" s="20" t="inlineStr">
        <is>
          <t>Q370</t>
        </is>
      </c>
    </row>
    <row r="43" ht="15" customHeight="1" s="21">
      <c r="A43" s="41" t="inlineStr">
        <is>
          <t>Q370·SQ005</t>
        </is>
      </c>
      <c r="B43" s="40" t="inlineStr">
        <is>
          <t>Has a strategy for the financial sustainability of its open source projects</t>
        </is>
      </c>
      <c r="C43" s="41" t="inlineStr">
        <is>
          <t>Maturity</t>
        </is>
      </c>
      <c r="D43" s="41" t="inlineStr">
        <is>
          <t>L5</t>
        </is>
      </c>
      <c r="E43" s="41" t="n">
        <v>9</v>
      </c>
      <c r="F43" s="32">
        <f>IF($I43=0,"",IF(COUNTIF(OFFSET('Data (paste export here)'!$B$1,1,0,100000,1),"&lt;&gt;")=0,"",ROUND(COUNTIFS(OFFSET('Data (paste export here)'!$A$1,1,$I43-1,100000,1),"Yes",OFFSET('Data (paste export here)'!$B$1,1,0,100000,1),"&lt;&gt;")/COUNTIF(OFFSET('Data (paste export here)'!$B$1,1,0,100000,1),"&lt;&gt;")*100,0)))</f>
        <v/>
      </c>
      <c r="G43" s="41">
        <f>IF(AND($I43&gt;0,ISNUMBER(SEARCH($J43,INDEX('Data (paste export here)'!$1:$1,$I43)))),"✓","✗")</f>
        <v/>
      </c>
      <c r="H43" s="20" t="inlineStr">
        <is>
          <t>Q370[SQ005]</t>
        </is>
      </c>
      <c r="I43" s="20">
        <f>SUMPRODUCT((--ISNUMBER(SEARCH($H43,'Data (paste export here)'!$A$1:$HZ$1)))*COLUMN('Data (paste export here)'!$A$1:$HZ$1))</f>
        <v/>
      </c>
      <c r="J43" s="20" t="inlineStr">
        <is>
          <t>Has a strategy for the financial sustainability of its open source projects</t>
        </is>
      </c>
      <c r="K43" s="20" t="inlineStr">
        <is>
          <t>Q370</t>
        </is>
      </c>
    </row>
    <row r="44" ht="15" customHeight="1" s="21">
      <c r="A44" s="41" t="inlineStr">
        <is>
          <t>Q370·SQ006</t>
        </is>
      </c>
      <c r="B44" s="40" t="inlineStr">
        <is>
          <t>Allocates dedicated budget or funding to sustain and maintain its open source projects</t>
        </is>
      </c>
      <c r="C44" s="41" t="inlineStr">
        <is>
          <t>Maturity</t>
        </is>
      </c>
      <c r="D44" s="41" t="inlineStr">
        <is>
          <t>L4</t>
        </is>
      </c>
      <c r="E44" s="41" t="n">
        <v>9</v>
      </c>
      <c r="F44" s="32">
        <f>IF($I44=0,"",IF(COUNTIF(OFFSET('Data (paste export here)'!$B$1,1,0,100000,1),"&lt;&gt;")=0,"",ROUND(COUNTIFS(OFFSET('Data (paste export here)'!$A$1,1,$I44-1,100000,1),"Yes",OFFSET('Data (paste export here)'!$B$1,1,0,100000,1),"&lt;&gt;")/COUNTIF(OFFSET('Data (paste export here)'!$B$1,1,0,100000,1),"&lt;&gt;")*100,0)))</f>
        <v/>
      </c>
      <c r="G44" s="41">
        <f>IF(AND($I44&gt;0,ISNUMBER(SEARCH($J44,INDEX('Data (paste export here)'!$1:$1,$I44)))),"✓","✗")</f>
        <v/>
      </c>
      <c r="H44" s="20" t="inlineStr">
        <is>
          <t>Q370[SQ006]</t>
        </is>
      </c>
      <c r="I44" s="20">
        <f>SUMPRODUCT((--ISNUMBER(SEARCH($H44,'Data (paste export here)'!$A$1:$HZ$1)))*COLUMN('Data (paste export here)'!$A$1:$HZ$1))</f>
        <v/>
      </c>
      <c r="J44" s="20" t="inlineStr">
        <is>
          <t>Allocates dedicated budget or funding to sustain and maintain its open source projects</t>
        </is>
      </c>
      <c r="K44" s="20" t="inlineStr">
        <is>
          <t>Q370</t>
        </is>
      </c>
    </row>
    <row r="45" ht="15" customHeight="1" s="21">
      <c r="A45" s="41" t="inlineStr">
        <is>
          <t>Q370·SQ007</t>
        </is>
      </c>
      <c r="B45" s="40" t="inlineStr">
        <is>
          <t>Formally allocates staff time to open source maintenance and contribution</t>
        </is>
      </c>
      <c r="C45" s="41" t="inlineStr">
        <is>
          <t>Maturity</t>
        </is>
      </c>
      <c r="D45" s="41" t="inlineStr">
        <is>
          <t>L4</t>
        </is>
      </c>
      <c r="E45" s="41" t="n">
        <v>9</v>
      </c>
      <c r="F45" s="32">
        <f>IF($I45=0,"",IF(COUNTIF(OFFSET('Data (paste export here)'!$B$1,1,0,100000,1),"&lt;&gt;")=0,"",ROUND(COUNTIFS(OFFSET('Data (paste export here)'!$A$1,1,$I45-1,100000,1),"Yes",OFFSET('Data (paste export here)'!$B$1,1,0,100000,1),"&lt;&gt;")/COUNTIF(OFFSET('Data (paste export here)'!$B$1,1,0,100000,1),"&lt;&gt;")*100,0)))</f>
        <v/>
      </c>
      <c r="G45" s="41">
        <f>IF(AND($I45&gt;0,ISNUMBER(SEARCH($J45,INDEX('Data (paste export here)'!$1:$1,$I45)))),"✓","✗")</f>
        <v/>
      </c>
      <c r="H45" s="20" t="inlineStr">
        <is>
          <t>Q370[SQ007]</t>
        </is>
      </c>
      <c r="I45" s="20">
        <f>SUMPRODUCT((--ISNUMBER(SEARCH($H45,'Data (paste export here)'!$A$1:$HZ$1)))*COLUMN('Data (paste export here)'!$A$1:$HZ$1))</f>
        <v/>
      </c>
      <c r="J45" s="20" t="inlineStr">
        <is>
          <t>Formally allocates staff time to open source maintenance and contribution</t>
        </is>
      </c>
      <c r="K45" s="20" t="inlineStr">
        <is>
          <t>Q370</t>
        </is>
      </c>
    </row>
    <row r="46" ht="15" customHeight="1" s="21">
      <c r="A46" s="41" t="inlineStr">
        <is>
          <t>Q400·SQ001</t>
        </is>
      </c>
      <c r="B46" s="40" t="inlineStr">
        <is>
          <t>Legal and open source licensing advice and support</t>
        </is>
      </c>
      <c r="C46" s="41" t="inlineStr">
        <is>
          <t>Support</t>
        </is>
      </c>
      <c r="D46" s="41" t="n"/>
      <c r="E46" s="41" t="n">
        <v>4</v>
      </c>
      <c r="F46" s="32">
        <f>IF($I46=0,"",IF(COUNTIF(OFFSET('Data (paste export here)'!$B$1,1,0,100000,1),"&lt;&gt;")=0,"",ROUND(COUNTIFS(OFFSET('Data (paste export here)'!$A$1,1,$I46-1,100000,1),"Yes",OFFSET('Data (paste export here)'!$B$1,1,0,100000,1),"&lt;&gt;")/COUNTIF(OFFSET('Data (paste export here)'!$B$1,1,0,100000,1),"&lt;&gt;")*100,0)))</f>
        <v/>
      </c>
      <c r="G46" s="41">
        <f>IF(AND($I46&gt;0,ISNUMBER(SEARCH($J46,INDEX('Data (paste export here)'!$1:$1,$I46)))),"✓","✗")</f>
        <v/>
      </c>
      <c r="H46" s="20" t="inlineStr">
        <is>
          <t>Q400[SQ001]</t>
        </is>
      </c>
      <c r="I46" s="20">
        <f>SUMPRODUCT((--ISNUMBER(SEARCH($H46,'Data (paste export here)'!$A$1:$HZ$1)))*COLUMN('Data (paste export here)'!$A$1:$HZ$1))</f>
        <v/>
      </c>
      <c r="J46" s="20" t="inlineStr">
        <is>
          <t>Legal and open source licensing advice and support</t>
        </is>
      </c>
      <c r="K46" s="20" t="inlineStr">
        <is>
          <t>Q400</t>
        </is>
      </c>
    </row>
    <row r="47" ht="15" customHeight="1" s="21">
      <c r="A47" s="41" t="inlineStr">
        <is>
          <t>Q400·SQ002</t>
        </is>
      </c>
      <c r="B47" s="40" t="inlineStr">
        <is>
          <t>Advice on security management</t>
        </is>
      </c>
      <c r="C47" s="41" t="inlineStr">
        <is>
          <t>Support</t>
        </is>
      </c>
      <c r="D47" s="41" t="n"/>
      <c r="E47" s="41" t="n">
        <v>5</v>
      </c>
      <c r="F47" s="32">
        <f>IF($I47=0,"",IF(COUNTIF(OFFSET('Data (paste export here)'!$B$1,1,0,100000,1),"&lt;&gt;")=0,"",ROUND(COUNTIFS(OFFSET('Data (paste export here)'!$A$1,1,$I47-1,100000,1),"Yes",OFFSET('Data (paste export here)'!$B$1,1,0,100000,1),"&lt;&gt;")/COUNTIF(OFFSET('Data (paste export here)'!$B$1,1,0,100000,1),"&lt;&gt;")*100,0)))</f>
        <v/>
      </c>
      <c r="G47" s="41">
        <f>IF(AND($I47&gt;0,ISNUMBER(SEARCH($J47,INDEX('Data (paste export here)'!$1:$1,$I47)))),"✓","✗")</f>
        <v/>
      </c>
      <c r="H47" s="20" t="inlineStr">
        <is>
          <t>Q400[SQ002]</t>
        </is>
      </c>
      <c r="I47" s="20">
        <f>SUMPRODUCT((--ISNUMBER(SEARCH($H47,'Data (paste export here)'!$A$1:$HZ$1)))*COLUMN('Data (paste export here)'!$A$1:$HZ$1))</f>
        <v/>
      </c>
      <c r="J47" s="20" t="inlineStr">
        <is>
          <t>Advice on security management</t>
        </is>
      </c>
      <c r="K47" s="20" t="inlineStr">
        <is>
          <t>Q400</t>
        </is>
      </c>
    </row>
    <row r="48" ht="15" customHeight="1" s="21">
      <c r="A48" s="41" t="inlineStr">
        <is>
          <t>Q400·SQ003</t>
        </is>
      </c>
      <c r="B48" s="40" t="inlineStr">
        <is>
          <t>Advice on dependency management</t>
        </is>
      </c>
      <c r="C48" s="41" t="inlineStr">
        <is>
          <t>Support</t>
        </is>
      </c>
      <c r="D48" s="41" t="n"/>
      <c r="E48" s="41" t="n">
        <v>5</v>
      </c>
      <c r="F48" s="32">
        <f>IF($I48=0,"",IF(COUNTIF(OFFSET('Data (paste export here)'!$B$1,1,0,100000,1),"&lt;&gt;")=0,"",ROUND(COUNTIFS(OFFSET('Data (paste export here)'!$A$1,1,$I48-1,100000,1),"Yes",OFFSET('Data (paste export here)'!$B$1,1,0,100000,1),"&lt;&gt;")/COUNTIF(OFFSET('Data (paste export here)'!$B$1,1,0,100000,1),"&lt;&gt;")*100,0)))</f>
        <v/>
      </c>
      <c r="G48" s="41">
        <f>IF(AND($I48&gt;0,ISNUMBER(SEARCH($J48,INDEX('Data (paste export here)'!$1:$1,$I48)))),"✓","✗")</f>
        <v/>
      </c>
      <c r="H48" s="20" t="inlineStr">
        <is>
          <t>Q400[SQ003]</t>
        </is>
      </c>
      <c r="I48" s="20">
        <f>SUMPRODUCT((--ISNUMBER(SEARCH($H48,'Data (paste export here)'!$A$1:$HZ$1)))*COLUMN('Data (paste export here)'!$A$1:$HZ$1))</f>
        <v/>
      </c>
      <c r="J48" s="20" t="inlineStr">
        <is>
          <t>Advice on dependency management</t>
        </is>
      </c>
      <c r="K48" s="20" t="inlineStr">
        <is>
          <t>Q400</t>
        </is>
      </c>
    </row>
    <row r="49" ht="15" customHeight="1" s="21">
      <c r="A49" s="41" t="inlineStr">
        <is>
          <t>Q400·SQ004</t>
        </is>
      </c>
      <c r="B49" s="40" t="inlineStr">
        <is>
          <t>Assessing vendor open source obligations (e.g. CRA compliance, software bills of materials)</t>
        </is>
      </c>
      <c r="C49" s="41" t="inlineStr">
        <is>
          <t>Support</t>
        </is>
      </c>
      <c r="D49" s="41" t="n"/>
      <c r="E49" s="41" t="n">
        <v>5</v>
      </c>
      <c r="F49" s="32">
        <f>IF($I49=0,"",IF(COUNTIF(OFFSET('Data (paste export here)'!$B$1,1,0,100000,1),"&lt;&gt;")=0,"",ROUND(COUNTIFS(OFFSET('Data (paste export here)'!$A$1,1,$I49-1,100000,1),"Yes",OFFSET('Data (paste export here)'!$B$1,1,0,100000,1),"&lt;&gt;")/COUNTIF(OFFSET('Data (paste export here)'!$B$1,1,0,100000,1),"&lt;&gt;")*100,0)))</f>
        <v/>
      </c>
      <c r="G49" s="41">
        <f>IF(AND($I49&gt;0,ISNUMBER(SEARCH($J49,INDEX('Data (paste export here)'!$1:$1,$I49)))),"✓","✗")</f>
        <v/>
      </c>
      <c r="H49" s="20" t="inlineStr">
        <is>
          <t>Q400[SQ004]</t>
        </is>
      </c>
      <c r="I49" s="20">
        <f>SUMPRODUCT((--ISNUMBER(SEARCH($H49,'Data (paste export here)'!$A$1:$HZ$1)))*COLUMN('Data (paste export here)'!$A$1:$HZ$1))</f>
        <v/>
      </c>
      <c r="J49" s="20" t="inlineStr">
        <is>
          <t>Assessing vendor open source obligations (e.g. CRA compliance, software bills of materials)</t>
        </is>
      </c>
      <c r="K49" s="20" t="inlineStr">
        <is>
          <t>Q400</t>
        </is>
      </c>
    </row>
    <row r="50" ht="15" customHeight="1" s="21">
      <c r="A50" s="41" t="inlineStr">
        <is>
          <t>Q400·SQ005</t>
        </is>
      </c>
      <c r="B50" s="40" t="inlineStr">
        <is>
          <t>Grant compliance with respect to open source requirements</t>
        </is>
      </c>
      <c r="C50" s="41" t="inlineStr">
        <is>
          <t>Support</t>
        </is>
      </c>
      <c r="D50" s="41" t="n"/>
      <c r="E50" s="41" t="n">
        <v>9</v>
      </c>
      <c r="F50" s="32">
        <f>IF($I50=0,"",IF(COUNTIF(OFFSET('Data (paste export here)'!$B$1,1,0,100000,1),"&lt;&gt;")=0,"",ROUND(COUNTIFS(OFFSET('Data (paste export here)'!$A$1,1,$I50-1,100000,1),"Yes",OFFSET('Data (paste export here)'!$B$1,1,0,100000,1),"&lt;&gt;")/COUNTIF(OFFSET('Data (paste export here)'!$B$1,1,0,100000,1),"&lt;&gt;")*100,0)))</f>
        <v/>
      </c>
      <c r="G50" s="41">
        <f>IF(AND($I50&gt;0,ISNUMBER(SEARCH($J50,INDEX('Data (paste export here)'!$1:$1,$I50)))),"✓","✗")</f>
        <v/>
      </c>
      <c r="H50" s="20" t="inlineStr">
        <is>
          <t>Q400[SQ005]</t>
        </is>
      </c>
      <c r="I50" s="20">
        <f>SUMPRODUCT((--ISNUMBER(SEARCH($H50,'Data (paste export here)'!$A$1:$HZ$1)))*COLUMN('Data (paste export here)'!$A$1:$HZ$1))</f>
        <v/>
      </c>
      <c r="J50" s="20" t="inlineStr">
        <is>
          <t>Grant compliance with respect to open source requirements</t>
        </is>
      </c>
      <c r="K50" s="20" t="inlineStr">
        <is>
          <t>Q400</t>
        </is>
      </c>
    </row>
    <row r="51" ht="15" customHeight="1" s="21">
      <c r="A51" s="41" t="inlineStr">
        <is>
          <t>Q400·SQ006</t>
        </is>
      </c>
      <c r="B51" s="40" t="inlineStr">
        <is>
          <t>Policy recommendations and best practices around open source AI</t>
        </is>
      </c>
      <c r="C51" s="41" t="inlineStr">
        <is>
          <t>Support</t>
        </is>
      </c>
      <c r="D51" s="41" t="n"/>
      <c r="E51" s="41" t="n">
        <v>13</v>
      </c>
      <c r="F51" s="32">
        <f>IF($I51=0,"",IF(COUNTIF(OFFSET('Data (paste export here)'!$B$1,1,0,100000,1),"&lt;&gt;")=0,"",ROUND(COUNTIFS(OFFSET('Data (paste export here)'!$A$1,1,$I51-1,100000,1),"Yes",OFFSET('Data (paste export here)'!$B$1,1,0,100000,1),"&lt;&gt;")/COUNTIF(OFFSET('Data (paste export here)'!$B$1,1,0,100000,1),"&lt;&gt;")*100,0)))</f>
        <v/>
      </c>
      <c r="G51" s="41">
        <f>IF(AND($I51&gt;0,ISNUMBER(SEARCH($J51,INDEX('Data (paste export here)'!$1:$1,$I51)))),"✓","✗")</f>
        <v/>
      </c>
      <c r="H51" s="20" t="inlineStr">
        <is>
          <t>Q400[SQ006]</t>
        </is>
      </c>
      <c r="I51" s="20">
        <f>SUMPRODUCT((--ISNUMBER(SEARCH($H51,'Data (paste export here)'!$A$1:$HZ$1)))*COLUMN('Data (paste export here)'!$A$1:$HZ$1))</f>
        <v/>
      </c>
      <c r="J51" s="20" t="inlineStr">
        <is>
          <t>Policy recommendations and best practices around open source AI</t>
        </is>
      </c>
      <c r="K51" s="20" t="inlineStr">
        <is>
          <t>Q400</t>
        </is>
      </c>
    </row>
    <row r="52" ht="15" customHeight="1" s="21">
      <c r="A52" s="41" t="inlineStr">
        <is>
          <t>Q410·SQ001</t>
        </is>
      </c>
      <c r="B52" s="40" t="inlineStr">
        <is>
          <t>Guidelines or policies for using open source software within UNO</t>
        </is>
      </c>
      <c r="C52" s="41" t="inlineStr">
        <is>
          <t>Support</t>
        </is>
      </c>
      <c r="D52" s="41" t="n"/>
      <c r="E52" s="41" t="n">
        <v>6</v>
      </c>
      <c r="F52" s="32">
        <f>IF($I52=0,"",IF(COUNTIF(OFFSET('Data (paste export here)'!$B$1,1,0,100000,1),"&lt;&gt;")=0,"",ROUND(COUNTIFS(OFFSET('Data (paste export here)'!$A$1,1,$I52-1,100000,1),"Yes",OFFSET('Data (paste export here)'!$B$1,1,0,100000,1),"&lt;&gt;")/COUNTIF(OFFSET('Data (paste export here)'!$B$1,1,0,100000,1),"&lt;&gt;")*100,0)))</f>
        <v/>
      </c>
      <c r="G52" s="41">
        <f>IF(AND($I52&gt;0,ISNUMBER(SEARCH($J52,INDEX('Data (paste export here)'!$1:$1,$I52)))),"✓","✗")</f>
        <v/>
      </c>
      <c r="H52" s="20" t="inlineStr">
        <is>
          <t>Q410[SQ001]</t>
        </is>
      </c>
      <c r="I52" s="20">
        <f>SUMPRODUCT((--ISNUMBER(SEARCH($H52,'Data (paste export here)'!$A$1:$HZ$1)))*COLUMN('Data (paste export here)'!$A$1:$HZ$1))</f>
        <v/>
      </c>
      <c r="J52" s="20" t="inlineStr">
        <is>
          <t>Guidelines or policies for using open source software within UNO</t>
        </is>
      </c>
      <c r="K52" s="20" t="inlineStr">
        <is>
          <t>Q410</t>
        </is>
      </c>
    </row>
    <row r="53" ht="15" customHeight="1" s="21">
      <c r="A53" s="41" t="inlineStr">
        <is>
          <t>Q410·SQ002</t>
        </is>
      </c>
      <c r="B53" s="40" t="inlineStr">
        <is>
          <t>Guidelines or policies for procuring open source software</t>
        </is>
      </c>
      <c r="C53" s="41" t="inlineStr">
        <is>
          <t>Support</t>
        </is>
      </c>
      <c r="D53" s="41" t="n"/>
      <c r="E53" s="41" t="n">
        <v>6</v>
      </c>
      <c r="F53" s="32">
        <f>IF($I53=0,"",IF(COUNTIF(OFFSET('Data (paste export here)'!$B$1,1,0,100000,1),"&lt;&gt;")=0,"",ROUND(COUNTIFS(OFFSET('Data (paste export here)'!$A$1,1,$I53-1,100000,1),"Yes",OFFSET('Data (paste export here)'!$B$1,1,0,100000,1),"&lt;&gt;")/COUNTIF(OFFSET('Data (paste export here)'!$B$1,1,0,100000,1),"&lt;&gt;")*100,0)))</f>
        <v/>
      </c>
      <c r="G53" s="41">
        <f>IF(AND($I53&gt;0,ISNUMBER(SEARCH($J53,INDEX('Data (paste export here)'!$1:$1,$I53)))),"✓","✗")</f>
        <v/>
      </c>
      <c r="H53" s="20" t="inlineStr">
        <is>
          <t>Q410[SQ002]</t>
        </is>
      </c>
      <c r="I53" s="20">
        <f>SUMPRODUCT((--ISNUMBER(SEARCH($H53,'Data (paste export here)'!$A$1:$HZ$1)))*COLUMN('Data (paste export here)'!$A$1:$HZ$1))</f>
        <v/>
      </c>
      <c r="J53" s="20" t="inlineStr">
        <is>
          <t>Guidelines or policies for procuring open source software</t>
        </is>
      </c>
      <c r="K53" s="20" t="inlineStr">
        <is>
          <t>Q410</t>
        </is>
      </c>
    </row>
    <row r="54" ht="15" customHeight="1" s="21">
      <c r="A54" s="41" t="inlineStr">
        <is>
          <t>Q410·SQ003</t>
        </is>
      </c>
      <c r="B54" s="40" t="inlineStr">
        <is>
          <t>A curated catalogue or directory of open source tools relevant to UNO's community</t>
        </is>
      </c>
      <c r="C54" s="41" t="inlineStr">
        <is>
          <t>Support</t>
        </is>
      </c>
      <c r="D54" s="41" t="n"/>
      <c r="E54" s="41" t="n">
        <v>6</v>
      </c>
      <c r="F54" s="32">
        <f>IF($I54=0,"",IF(COUNTIF(OFFSET('Data (paste export here)'!$B$1,1,0,100000,1),"&lt;&gt;")=0,"",ROUND(COUNTIFS(OFFSET('Data (paste export here)'!$A$1,1,$I54-1,100000,1),"Yes",OFFSET('Data (paste export here)'!$B$1,1,0,100000,1),"&lt;&gt;")/COUNTIF(OFFSET('Data (paste export here)'!$B$1,1,0,100000,1),"&lt;&gt;")*100,0)))</f>
        <v/>
      </c>
      <c r="G54" s="41">
        <f>IF(AND($I54&gt;0,ISNUMBER(SEARCH($J54,INDEX('Data (paste export here)'!$1:$1,$I54)))),"✓","✗")</f>
        <v/>
      </c>
      <c r="H54" s="20" t="inlineStr">
        <is>
          <t>Q410[SQ003]</t>
        </is>
      </c>
      <c r="I54" s="20">
        <f>SUMPRODUCT((--ISNUMBER(SEARCH($H54,'Data (paste export here)'!$A$1:$HZ$1)))*COLUMN('Data (paste export here)'!$A$1:$HZ$1))</f>
        <v/>
      </c>
      <c r="J54" s="20" t="inlineStr">
        <is>
          <t>A curated catalogue or directory of open source tools relevant to UNO's community</t>
        </is>
      </c>
      <c r="K54" s="20" t="inlineStr">
        <is>
          <t>Q410</t>
        </is>
      </c>
    </row>
    <row r="55" ht="15" customHeight="1" s="21">
      <c r="A55" s="41" t="inlineStr">
        <is>
          <t>Q420·SQ001</t>
        </is>
      </c>
      <c r="B55" s="40" t="inlineStr">
        <is>
          <t>Guidelines or policies on managing and maintaining an open source project</t>
        </is>
      </c>
      <c r="C55" s="41" t="inlineStr">
        <is>
          <t>Support</t>
        </is>
      </c>
      <c r="D55" s="41" t="n"/>
      <c r="E55" s="41" t="n">
        <v>3</v>
      </c>
      <c r="F55" s="32">
        <f>IF($I55=0,"",IF(COUNTIF(OFFSET('Data (paste export here)'!$B$1,1,0,100000,1),"&lt;&gt;")=0,"",ROUND(COUNTIFS(OFFSET('Data (paste export here)'!$A$1,1,$I55-1,100000,1),"Yes",OFFSET('Data (paste export here)'!$B$1,1,0,100000,1),"&lt;&gt;")/COUNTIF(OFFSET('Data (paste export here)'!$B$1,1,0,100000,1),"&lt;&gt;")*100,0)))</f>
        <v/>
      </c>
      <c r="G55" s="41">
        <f>IF(AND($I55&gt;0,ISNUMBER(SEARCH($J55,INDEX('Data (paste export here)'!$1:$1,$I55)))),"✓","✗")</f>
        <v/>
      </c>
      <c r="H55" s="20" t="inlineStr">
        <is>
          <t>Q420[SQ001]</t>
        </is>
      </c>
      <c r="I55" s="20">
        <f>SUMPRODUCT((--ISNUMBER(SEARCH($H55,'Data (paste export here)'!$A$1:$HZ$1)))*COLUMN('Data (paste export here)'!$A$1:$HZ$1))</f>
        <v/>
      </c>
      <c r="J55" s="20" t="inlineStr">
        <is>
          <t>Guidelines or policies on managing and maintaining an open source project</t>
        </is>
      </c>
      <c r="K55" s="20" t="inlineStr">
        <is>
          <t>Q420</t>
        </is>
      </c>
    </row>
    <row r="56" ht="15" customHeight="1" s="21">
      <c r="A56" s="41" t="inlineStr">
        <is>
          <t>Q420·SQ002</t>
        </is>
      </c>
      <c r="B56" s="40" t="inlineStr">
        <is>
          <t>Guidance on transitioning an internal project to open source</t>
        </is>
      </c>
      <c r="C56" s="41" t="inlineStr">
        <is>
          <t>Support</t>
        </is>
      </c>
      <c r="D56" s="41" t="n"/>
      <c r="E56" s="41" t="n">
        <v>7</v>
      </c>
      <c r="F56" s="32">
        <f>IF($I56=0,"",IF(COUNTIF(OFFSET('Data (paste export here)'!$B$1,1,0,100000,1),"&lt;&gt;")=0,"",ROUND(COUNTIFS(OFFSET('Data (paste export here)'!$A$1,1,$I56-1,100000,1),"Yes",OFFSET('Data (paste export here)'!$B$1,1,0,100000,1),"&lt;&gt;")/COUNTIF(OFFSET('Data (paste export here)'!$B$1,1,0,100000,1),"&lt;&gt;")*100,0)))</f>
        <v/>
      </c>
      <c r="G56" s="41">
        <f>IF(AND($I56&gt;0,ISNUMBER(SEARCH($J56,INDEX('Data (paste export here)'!$1:$1,$I56)))),"✓","✗")</f>
        <v/>
      </c>
      <c r="H56" s="20" t="inlineStr">
        <is>
          <t>Q420[SQ002]</t>
        </is>
      </c>
      <c r="I56" s="20">
        <f>SUMPRODUCT((--ISNUMBER(SEARCH($H56,'Data (paste export here)'!$A$1:$HZ$1)))*COLUMN('Data (paste export here)'!$A$1:$HZ$1))</f>
        <v/>
      </c>
      <c r="J56" s="20" t="inlineStr">
        <is>
          <t>Guidance on transitioning an internal project to open source</t>
        </is>
      </c>
      <c r="K56" s="20" t="inlineStr">
        <is>
          <t>Q420</t>
        </is>
      </c>
    </row>
    <row r="57" ht="15" customHeight="1" s="21">
      <c r="A57" s="41" t="inlineStr">
        <is>
          <t>Q420·SQ003</t>
        </is>
      </c>
      <c r="B57" s="40" t="inlineStr">
        <is>
          <t>Support writing documentation for open source projects</t>
        </is>
      </c>
      <c r="C57" s="41" t="inlineStr">
        <is>
          <t>Support</t>
        </is>
      </c>
      <c r="D57" s="41" t="n"/>
      <c r="E57" s="41" t="n">
        <v>3</v>
      </c>
      <c r="F57" s="32">
        <f>IF($I57=0,"",IF(COUNTIF(OFFSET('Data (paste export here)'!$B$1,1,0,100000,1),"&lt;&gt;")=0,"",ROUND(COUNTIFS(OFFSET('Data (paste export here)'!$A$1,1,$I57-1,100000,1),"Yes",OFFSET('Data (paste export here)'!$B$1,1,0,100000,1),"&lt;&gt;")/COUNTIF(OFFSET('Data (paste export here)'!$B$1,1,0,100000,1),"&lt;&gt;")*100,0)))</f>
        <v/>
      </c>
      <c r="G57" s="41">
        <f>IF(AND($I57&gt;0,ISNUMBER(SEARCH($J57,INDEX('Data (paste export here)'!$1:$1,$I57)))),"✓","✗")</f>
        <v/>
      </c>
      <c r="H57" s="20" t="inlineStr">
        <is>
          <t>Q420[SQ003]</t>
        </is>
      </c>
      <c r="I57" s="20">
        <f>SUMPRODUCT((--ISNUMBER(SEARCH($H57,'Data (paste export here)'!$A$1:$HZ$1)))*COLUMN('Data (paste export here)'!$A$1:$HZ$1))</f>
        <v/>
      </c>
      <c r="J57" s="20" t="inlineStr">
        <is>
          <t>Support writing documentation for open source projects</t>
        </is>
      </c>
      <c r="K57" s="20" t="inlineStr">
        <is>
          <t>Q420</t>
        </is>
      </c>
    </row>
    <row r="58" ht="15" customHeight="1" s="21">
      <c r="A58" s="41" t="inlineStr">
        <is>
          <t>Q420·SQ004</t>
        </is>
      </c>
      <c r="B58" s="40" t="inlineStr">
        <is>
          <t>An assessment or audit of my open source project's community health and contributor readiness</t>
        </is>
      </c>
      <c r="C58" s="41" t="inlineStr">
        <is>
          <t>Support</t>
        </is>
      </c>
      <c r="D58" s="41" t="n"/>
      <c r="E58" s="41" t="n">
        <v>10</v>
      </c>
      <c r="F58" s="32">
        <f>IF($I58=0,"",IF(COUNTIF(OFFSET('Data (paste export here)'!$B$1,1,0,100000,1),"&lt;&gt;")=0,"",ROUND(COUNTIFS(OFFSET('Data (paste export here)'!$A$1,1,$I58-1,100000,1),"Yes",OFFSET('Data (paste export here)'!$B$1,1,0,100000,1),"&lt;&gt;")/COUNTIF(OFFSET('Data (paste export here)'!$B$1,1,0,100000,1),"&lt;&gt;")*100,0)))</f>
        <v/>
      </c>
      <c r="G58" s="41">
        <f>IF(AND($I58&gt;0,ISNUMBER(SEARCH($J58,INDEX('Data (paste export here)'!$1:$1,$I58)))),"✓","✗")</f>
        <v/>
      </c>
      <c r="H58" s="20" t="inlineStr">
        <is>
          <t>Q420[SQ004]</t>
        </is>
      </c>
      <c r="I58" s="20">
        <f>SUMPRODUCT((--ISNUMBER(SEARCH($H58,'Data (paste export here)'!$A$1:$HZ$1)))*COLUMN('Data (paste export here)'!$A$1:$HZ$1))</f>
        <v/>
      </c>
      <c r="J58" s="20" t="inlineStr">
        <is>
          <t>An assessment or audit of my open source project's community health and contributor readiness</t>
        </is>
      </c>
      <c r="K58" s="20" t="inlineStr">
        <is>
          <t>Q420</t>
        </is>
      </c>
    </row>
    <row r="59" ht="15" customHeight="1" s="21">
      <c r="A59" s="41" t="inlineStr">
        <is>
          <t>Q430·SQ001</t>
        </is>
      </c>
      <c r="B59" s="40" t="inlineStr">
        <is>
          <t>An open source community of practice, discussion group, or learning group</t>
        </is>
      </c>
      <c r="C59" s="41" t="inlineStr">
        <is>
          <t>Support</t>
        </is>
      </c>
      <c r="D59" s="41" t="n"/>
      <c r="E59" s="41" t="n">
        <v>2</v>
      </c>
      <c r="F59" s="32">
        <f>IF($I59=0,"",IF(COUNTIF(OFFSET('Data (paste export here)'!$B$1,1,0,100000,1),"&lt;&gt;")=0,"",ROUND(COUNTIFS(OFFSET('Data (paste export here)'!$A$1,1,$I59-1,100000,1),"Yes",OFFSET('Data (paste export here)'!$B$1,1,0,100000,1),"&lt;&gt;")/COUNTIF(OFFSET('Data (paste export here)'!$B$1,1,0,100000,1),"&lt;&gt;")*100,0)))</f>
        <v/>
      </c>
      <c r="G59" s="41">
        <f>IF(AND($I59&gt;0,ISNUMBER(SEARCH($J59,INDEX('Data (paste export here)'!$1:$1,$I59)))),"✓","✗")</f>
        <v/>
      </c>
      <c r="H59" s="20" t="inlineStr">
        <is>
          <t>Q430[SQ001]</t>
        </is>
      </c>
      <c r="I59" s="20">
        <f>SUMPRODUCT((--ISNUMBER(SEARCH($H59,'Data (paste export here)'!$A$1:$HZ$1)))*COLUMN('Data (paste export here)'!$A$1:$HZ$1))</f>
        <v/>
      </c>
      <c r="J59" s="20" t="inlineStr">
        <is>
          <t>An open source community of practice, discussion group, or learning group</t>
        </is>
      </c>
      <c r="K59" s="20" t="inlineStr">
        <is>
          <t>Q430</t>
        </is>
      </c>
    </row>
    <row r="60" ht="15" customHeight="1" s="21">
      <c r="A60" s="41" t="inlineStr">
        <is>
          <t>Q430·SQ002</t>
        </is>
      </c>
      <c r="B60" s="40" t="inlineStr">
        <is>
          <t>Mentorship on open source practices for myself or my team</t>
        </is>
      </c>
      <c r="C60" s="41" t="inlineStr">
        <is>
          <t>Support</t>
        </is>
      </c>
      <c r="D60" s="41" t="n"/>
      <c r="E60" s="41" t="n">
        <v>2</v>
      </c>
      <c r="F60" s="32">
        <f>IF($I60=0,"",IF(COUNTIF(OFFSET('Data (paste export here)'!$B$1,1,0,100000,1),"&lt;&gt;")=0,"",ROUND(COUNTIFS(OFFSET('Data (paste export here)'!$A$1,1,$I60-1,100000,1),"Yes",OFFSET('Data (paste export here)'!$B$1,1,0,100000,1),"&lt;&gt;")/COUNTIF(OFFSET('Data (paste export here)'!$B$1,1,0,100000,1),"&lt;&gt;")*100,0)))</f>
        <v/>
      </c>
      <c r="G60" s="41">
        <f>IF(AND($I60&gt;0,ISNUMBER(SEARCH($J60,INDEX('Data (paste export here)'!$1:$1,$I60)))),"✓","✗")</f>
        <v/>
      </c>
      <c r="H60" s="20" t="inlineStr">
        <is>
          <t>Q430[SQ002]</t>
        </is>
      </c>
      <c r="I60" s="20">
        <f>SUMPRODUCT((--ISNUMBER(SEARCH($H60,'Data (paste export here)'!$A$1:$HZ$1)))*COLUMN('Data (paste export here)'!$A$1:$HZ$1))</f>
        <v/>
      </c>
      <c r="J60" s="20" t="inlineStr">
        <is>
          <t>Mentorship on open source practices for myself or my team</t>
        </is>
      </c>
      <c r="K60" s="20" t="inlineStr">
        <is>
          <t>Q430</t>
        </is>
      </c>
    </row>
    <row r="61" ht="15" customHeight="1" s="21">
      <c r="A61" s="41" t="inlineStr">
        <is>
          <t>Q430·SQ003</t>
        </is>
      </c>
      <c r="B61" s="40" t="inlineStr">
        <is>
          <t>Mentoring programmes to bring new people into my project</t>
        </is>
      </c>
      <c r="C61" s="41" t="inlineStr">
        <is>
          <t>Support</t>
        </is>
      </c>
      <c r="D61" s="41" t="n"/>
      <c r="E61" s="41" t="n">
        <v>2</v>
      </c>
      <c r="F61" s="32">
        <f>IF($I61=0,"",IF(COUNTIF(OFFSET('Data (paste export here)'!$B$1,1,0,100000,1),"&lt;&gt;")=0,"",ROUND(COUNTIFS(OFFSET('Data (paste export here)'!$A$1,1,$I61-1,100000,1),"Yes",OFFSET('Data (paste export here)'!$B$1,1,0,100000,1),"&lt;&gt;")/COUNTIF(OFFSET('Data (paste export here)'!$B$1,1,0,100000,1),"&lt;&gt;")*100,0)))</f>
        <v/>
      </c>
      <c r="G61" s="41">
        <f>IF(AND($I61&gt;0,ISNUMBER(SEARCH($J61,INDEX('Data (paste export here)'!$1:$1,$I61)))),"✓","✗")</f>
        <v/>
      </c>
      <c r="H61" s="20" t="inlineStr">
        <is>
          <t>Q430[SQ003]</t>
        </is>
      </c>
      <c r="I61" s="20">
        <f>SUMPRODUCT((--ISNUMBER(SEARCH($H61,'Data (paste export here)'!$A$1:$HZ$1)))*COLUMN('Data (paste export here)'!$A$1:$HZ$1))</f>
        <v/>
      </c>
      <c r="J61" s="20" t="inlineStr">
        <is>
          <t>Mentoring programmes to bring new people into my project</t>
        </is>
      </c>
      <c r="K61" s="20" t="inlineStr">
        <is>
          <t>Q430</t>
        </is>
      </c>
    </row>
    <row r="62" ht="15" customHeight="1" s="21">
      <c r="A62" s="41" t="inlineStr">
        <is>
          <t>Q430·SQ004</t>
        </is>
      </c>
      <c r="B62" s="40" t="inlineStr">
        <is>
          <t>Training, workshops, and educational materials on open source topics and tools (e.g. programming languages, popular packages)</t>
        </is>
      </c>
      <c r="C62" s="41" t="inlineStr">
        <is>
          <t>Support</t>
        </is>
      </c>
      <c r="D62" s="41" t="n"/>
      <c r="E62" s="41" t="n">
        <v>2</v>
      </c>
      <c r="F62" s="32">
        <f>IF($I62=0,"",IF(COUNTIF(OFFSET('Data (paste export here)'!$B$1,1,0,100000,1),"&lt;&gt;")=0,"",ROUND(COUNTIFS(OFFSET('Data (paste export here)'!$A$1,1,$I62-1,100000,1),"Yes",OFFSET('Data (paste export here)'!$B$1,1,0,100000,1),"&lt;&gt;")/COUNTIF(OFFSET('Data (paste export here)'!$B$1,1,0,100000,1),"&lt;&gt;")*100,0)))</f>
        <v/>
      </c>
      <c r="G62" s="41">
        <f>IF(AND($I62&gt;0,ISNUMBER(SEARCH($J62,INDEX('Data (paste export here)'!$1:$1,$I62)))),"✓","✗")</f>
        <v/>
      </c>
      <c r="H62" s="20" t="inlineStr">
        <is>
          <t>Q430[SQ004]</t>
        </is>
      </c>
      <c r="I62" s="20">
        <f>SUMPRODUCT((--ISNUMBER(SEARCH($H62,'Data (paste export here)'!$A$1:$HZ$1)))*COLUMN('Data (paste export here)'!$A$1:$HZ$1))</f>
        <v/>
      </c>
      <c r="J62" s="20" t="inlineStr">
        <is>
          <t>Training, workshops, and educational materials on open source topics and tools (e.g. programming languages, popular packages)</t>
        </is>
      </c>
      <c r="K62" s="20" t="inlineStr">
        <is>
          <t>Q430</t>
        </is>
      </c>
    </row>
    <row r="63" ht="15" customHeight="1" s="21">
      <c r="A63" s="41" t="inlineStr">
        <is>
          <t>Q440·SQ001</t>
        </is>
      </c>
      <c r="B63" s="40" t="inlineStr">
        <is>
          <t>Support identifying potential funding sources</t>
        </is>
      </c>
      <c r="C63" s="41" t="inlineStr">
        <is>
          <t>Support</t>
        </is>
      </c>
      <c r="D63" s="41" t="n"/>
      <c r="E63" s="41" t="n">
        <v>9</v>
      </c>
      <c r="F63" s="32">
        <f>IF($I63=0,"",IF(COUNTIF(OFFSET('Data (paste export here)'!$B$1,1,0,100000,1),"&lt;&gt;")=0,"",ROUND(COUNTIFS(OFFSET('Data (paste export here)'!$A$1,1,$I63-1,100000,1),"Yes",OFFSET('Data (paste export here)'!$B$1,1,0,100000,1),"&lt;&gt;")/COUNTIF(OFFSET('Data (paste export here)'!$B$1,1,0,100000,1),"&lt;&gt;")*100,0)))</f>
        <v/>
      </c>
      <c r="G63" s="41">
        <f>IF(AND($I63&gt;0,ISNUMBER(SEARCH($J63,INDEX('Data (paste export here)'!$1:$1,$I63)))),"✓","✗")</f>
        <v/>
      </c>
      <c r="H63" s="20" t="inlineStr">
        <is>
          <t>Q440[SQ001]</t>
        </is>
      </c>
      <c r="I63" s="20">
        <f>SUMPRODUCT((--ISNUMBER(SEARCH($H63,'Data (paste export here)'!$A$1:$HZ$1)))*COLUMN('Data (paste export here)'!$A$1:$HZ$1))</f>
        <v/>
      </c>
      <c r="J63" s="20" t="inlineStr">
        <is>
          <t>Support identifying potential funding sources</t>
        </is>
      </c>
      <c r="K63" s="20" t="inlineStr">
        <is>
          <t>Q440</t>
        </is>
      </c>
    </row>
    <row r="64" ht="15" customHeight="1" s="21">
      <c r="A64" s="41" t="inlineStr">
        <is>
          <t>Q440·SQ002</t>
        </is>
      </c>
      <c r="B64" s="40" t="inlineStr">
        <is>
          <t>Support with grant applications and grant writing</t>
        </is>
      </c>
      <c r="C64" s="41" t="inlineStr">
        <is>
          <t>Support</t>
        </is>
      </c>
      <c r="D64" s="41" t="n"/>
      <c r="E64" s="41" t="n">
        <v>9</v>
      </c>
      <c r="F64" s="32">
        <f>IF($I64=0,"",IF(COUNTIF(OFFSET('Data (paste export here)'!$B$1,1,0,100000,1),"&lt;&gt;")=0,"",ROUND(COUNTIFS(OFFSET('Data (paste export here)'!$A$1,1,$I64-1,100000,1),"Yes",OFFSET('Data (paste export here)'!$B$1,1,0,100000,1),"&lt;&gt;")/COUNTIF(OFFSET('Data (paste export here)'!$B$1,1,0,100000,1),"&lt;&gt;")*100,0)))</f>
        <v/>
      </c>
      <c r="G64" s="41">
        <f>IF(AND($I64&gt;0,ISNUMBER(SEARCH($J64,INDEX('Data (paste export here)'!$1:$1,$I64)))),"✓","✗")</f>
        <v/>
      </c>
      <c r="H64" s="20" t="inlineStr">
        <is>
          <t>Q440[SQ002]</t>
        </is>
      </c>
      <c r="I64" s="20">
        <f>SUMPRODUCT((--ISNUMBER(SEARCH($H64,'Data (paste export here)'!$A$1:$HZ$1)))*COLUMN('Data (paste export here)'!$A$1:$HZ$1))</f>
        <v/>
      </c>
      <c r="J64" s="20" t="inlineStr">
        <is>
          <t>Support with grant applications and grant writing</t>
        </is>
      </c>
      <c r="K64" s="20" t="inlineStr">
        <is>
          <t>Q440</t>
        </is>
      </c>
    </row>
    <row r="65" ht="15" customHeight="1" s="21">
      <c r="A65" s="41" t="inlineStr">
        <is>
          <t>Q440·SQ003</t>
        </is>
      </c>
      <c r="B65" s="40" t="inlineStr">
        <is>
          <t>Dedicated grants or funding from UNO to sustain and maintain my open source projects</t>
        </is>
      </c>
      <c r="C65" s="41" t="inlineStr">
        <is>
          <t>Support</t>
        </is>
      </c>
      <c r="D65" s="41" t="n"/>
      <c r="E65" s="41" t="n">
        <v>9</v>
      </c>
      <c r="F65" s="32">
        <f>IF($I65=0,"",IF(COUNTIF(OFFSET('Data (paste export here)'!$B$1,1,0,100000,1),"&lt;&gt;")=0,"",ROUND(COUNTIFS(OFFSET('Data (paste export here)'!$A$1,1,$I65-1,100000,1),"Yes",OFFSET('Data (paste export here)'!$B$1,1,0,100000,1),"&lt;&gt;")/COUNTIF(OFFSET('Data (paste export here)'!$B$1,1,0,100000,1),"&lt;&gt;")*100,0)))</f>
        <v/>
      </c>
      <c r="G65" s="41">
        <f>IF(AND($I65&gt;0,ISNUMBER(SEARCH($J65,INDEX('Data (paste export here)'!$1:$1,$I65)))),"✓","✗")</f>
        <v/>
      </c>
      <c r="H65" s="20" t="inlineStr">
        <is>
          <t>Q440[SQ003]</t>
        </is>
      </c>
      <c r="I65" s="20">
        <f>SUMPRODUCT((--ISNUMBER(SEARCH($H65,'Data (paste export here)'!$A$1:$HZ$1)))*COLUMN('Data (paste export here)'!$A$1:$HZ$1))</f>
        <v/>
      </c>
      <c r="J65" s="20" t="inlineStr">
        <is>
          <t>Dedicated grants or funding from UNO to sustain and maintain my open source projects</t>
        </is>
      </c>
      <c r="K65" s="20" t="inlineStr">
        <is>
          <t>Q440</t>
        </is>
      </c>
    </row>
    <row r="66" ht="15" customHeight="1" s="21">
      <c r="A66" s="41" t="inlineStr">
        <is>
          <t>Q440·SQ004</t>
        </is>
      </c>
      <c r="B66" s="40" t="inlineStr">
        <is>
          <t>Help developing a sustainable business or funding model for my open source project</t>
        </is>
      </c>
      <c r="C66" s="41" t="inlineStr">
        <is>
          <t>Support</t>
        </is>
      </c>
      <c r="D66" s="41" t="n"/>
      <c r="E66" s="41" t="n">
        <v>9</v>
      </c>
      <c r="F66" s="32">
        <f>IF($I66=0,"",IF(COUNTIF(OFFSET('Data (paste export here)'!$B$1,1,0,100000,1),"&lt;&gt;")=0,"",ROUND(COUNTIFS(OFFSET('Data (paste export here)'!$A$1,1,$I66-1,100000,1),"Yes",OFFSET('Data (paste export here)'!$B$1,1,0,100000,1),"&lt;&gt;")/COUNTIF(OFFSET('Data (paste export here)'!$B$1,1,0,100000,1),"&lt;&gt;")*100,0)))</f>
        <v/>
      </c>
      <c r="G66" s="41">
        <f>IF(AND($I66&gt;0,ISNUMBER(SEARCH($J66,INDEX('Data (paste export here)'!$1:$1,$I66)))),"✓","✗")</f>
        <v/>
      </c>
      <c r="H66" s="20" t="inlineStr">
        <is>
          <t>Q440[SQ004]</t>
        </is>
      </c>
      <c r="I66" s="20">
        <f>SUMPRODUCT((--ISNUMBER(SEARCH($H66,'Data (paste export here)'!$A$1:$HZ$1)))*COLUMN('Data (paste export here)'!$A$1:$HZ$1))</f>
        <v/>
      </c>
      <c r="J66" s="20" t="inlineStr">
        <is>
          <t>Help developing a sustainable business or funding model for my open source project</t>
        </is>
      </c>
      <c r="K66" s="20" t="inlineStr">
        <is>
          <t>Q440</t>
        </is>
      </c>
    </row>
    <row r="67" ht="15" customHeight="1" s="21">
      <c r="A67" s="41" t="inlineStr">
        <is>
          <t>Q450·SQ001</t>
        </is>
      </c>
      <c r="B67" s="40" t="inlineStr">
        <is>
          <t>Hosted development tools and infrastructure for open source software</t>
        </is>
      </c>
      <c r="C67" s="41" t="inlineStr">
        <is>
          <t>Support</t>
        </is>
      </c>
      <c r="D67" s="41" t="n"/>
      <c r="E67" s="41" t="n">
        <v>11</v>
      </c>
      <c r="F67" s="32">
        <f>IF($I67=0,"",IF(COUNTIF(OFFSET('Data (paste export here)'!$B$1,1,0,100000,1),"&lt;&gt;")=0,"",ROUND(COUNTIFS(OFFSET('Data (paste export here)'!$A$1,1,$I67-1,100000,1),"Yes",OFFSET('Data (paste export here)'!$B$1,1,0,100000,1),"&lt;&gt;")/COUNTIF(OFFSET('Data (paste export here)'!$B$1,1,0,100000,1),"&lt;&gt;")*100,0)))</f>
        <v/>
      </c>
      <c r="G67" s="41">
        <f>IF(AND($I67&gt;0,ISNUMBER(SEARCH($J67,INDEX('Data (paste export here)'!$1:$1,$I67)))),"✓","✗")</f>
        <v/>
      </c>
      <c r="H67" s="20" t="inlineStr">
        <is>
          <t>Q450[SQ001]</t>
        </is>
      </c>
      <c r="I67" s="20">
        <f>SUMPRODUCT((--ISNUMBER(SEARCH($H67,'Data (paste export here)'!$A$1:$HZ$1)))*COLUMN('Data (paste export here)'!$A$1:$HZ$1))</f>
        <v/>
      </c>
      <c r="J67" s="20" t="inlineStr">
        <is>
          <t>Hosted development tools and infrastructure for open source software</t>
        </is>
      </c>
      <c r="K67" s="20" t="inlineStr">
        <is>
          <t>Q450</t>
        </is>
      </c>
    </row>
    <row r="68" ht="15" customHeight="1" s="21">
      <c r="A68" s="41" t="inlineStr">
        <is>
          <t>Q450·SQ002</t>
        </is>
      </c>
      <c r="B68" s="40" t="inlineStr">
        <is>
          <t>Support creating containers (e.g. Docker) for my open source software</t>
        </is>
      </c>
      <c r="C68" s="41" t="inlineStr">
        <is>
          <t>Support</t>
        </is>
      </c>
      <c r="D68" s="41" t="n"/>
      <c r="E68" s="41" t="n">
        <v>11</v>
      </c>
      <c r="F68" s="32">
        <f>IF($I68=0,"",IF(COUNTIF(OFFSET('Data (paste export here)'!$B$1,1,0,100000,1),"&lt;&gt;")=0,"",ROUND(COUNTIFS(OFFSET('Data (paste export here)'!$A$1,1,$I68-1,100000,1),"Yes",OFFSET('Data (paste export here)'!$B$1,1,0,100000,1),"&lt;&gt;")/COUNTIF(OFFSET('Data (paste export here)'!$B$1,1,0,100000,1),"&lt;&gt;")*100,0)))</f>
        <v/>
      </c>
      <c r="G68" s="41">
        <f>IF(AND($I68&gt;0,ISNUMBER(SEARCH($J68,INDEX('Data (paste export here)'!$1:$1,$I68)))),"✓","✗")</f>
        <v/>
      </c>
      <c r="H68" s="20" t="inlineStr">
        <is>
          <t>Q450[SQ002]</t>
        </is>
      </c>
      <c r="I68" s="20">
        <f>SUMPRODUCT((--ISNUMBER(SEARCH($H68,'Data (paste export here)'!$A$1:$HZ$1)))*COLUMN('Data (paste export here)'!$A$1:$HZ$1))</f>
        <v/>
      </c>
      <c r="J68" s="20" t="inlineStr">
        <is>
          <t>Support creating containers (e.g. Docker) for my open source software</t>
        </is>
      </c>
      <c r="K68" s="20" t="inlineStr">
        <is>
          <t>Q450</t>
        </is>
      </c>
    </row>
    <row r="69" ht="15" customHeight="1" s="21">
      <c r="A69" s="41" t="inlineStr">
        <is>
          <t>Q450·SQ003</t>
        </is>
      </c>
      <c r="B69" s="40" t="inlineStr">
        <is>
          <t>Access to CPU or high-performance computing resources at low or no cost</t>
        </is>
      </c>
      <c r="C69" s="41" t="inlineStr">
        <is>
          <t>Support</t>
        </is>
      </c>
      <c r="D69" s="41" t="n"/>
      <c r="E69" s="41" t="n">
        <v>11</v>
      </c>
      <c r="F69" s="32">
        <f>IF($I69=0,"",IF(COUNTIF(OFFSET('Data (paste export here)'!$B$1,1,0,100000,1),"&lt;&gt;")=0,"",ROUND(COUNTIFS(OFFSET('Data (paste export here)'!$A$1,1,$I69-1,100000,1),"Yes",OFFSET('Data (paste export here)'!$B$1,1,0,100000,1),"&lt;&gt;")/COUNTIF(OFFSET('Data (paste export here)'!$B$1,1,0,100000,1),"&lt;&gt;")*100,0)))</f>
        <v/>
      </c>
      <c r="G69" s="41">
        <f>IF(AND($I69&gt;0,ISNUMBER(SEARCH($J69,INDEX('Data (paste export here)'!$1:$1,$I69)))),"✓","✗")</f>
        <v/>
      </c>
      <c r="H69" s="20" t="inlineStr">
        <is>
          <t>Q450[SQ003]</t>
        </is>
      </c>
      <c r="I69" s="20">
        <f>SUMPRODUCT((--ISNUMBER(SEARCH($H69,'Data (paste export here)'!$A$1:$HZ$1)))*COLUMN('Data (paste export here)'!$A$1:$HZ$1))</f>
        <v/>
      </c>
      <c r="J69" s="20" t="inlineStr">
        <is>
          <t>Access to CPU or high-performance computing resources at low or no cost</t>
        </is>
      </c>
      <c r="K69" s="20" t="inlineStr">
        <is>
          <t>Q450</t>
        </is>
      </c>
    </row>
    <row r="70" ht="15" customHeight="1" s="21">
      <c r="A70" s="41" t="inlineStr">
        <is>
          <t>Q450·SQ004</t>
        </is>
      </c>
      <c r="B70" s="40" t="inlineStr">
        <is>
          <t>Access to GPU resources (e.g. for AI/ML workloads) at low or no cost</t>
        </is>
      </c>
      <c r="C70" s="41" t="inlineStr">
        <is>
          <t>Support</t>
        </is>
      </c>
      <c r="D70" s="41" t="n"/>
      <c r="E70" s="41" t="n">
        <v>11</v>
      </c>
      <c r="F70" s="32">
        <f>IF($I70=0,"",IF(COUNTIF(OFFSET('Data (paste export here)'!$B$1,1,0,100000,1),"&lt;&gt;")=0,"",ROUND(COUNTIFS(OFFSET('Data (paste export here)'!$A$1,1,$I70-1,100000,1),"Yes",OFFSET('Data (paste export here)'!$B$1,1,0,100000,1),"&lt;&gt;")/COUNTIF(OFFSET('Data (paste export here)'!$B$1,1,0,100000,1),"&lt;&gt;")*100,0)))</f>
        <v/>
      </c>
      <c r="G70" s="41">
        <f>IF(AND($I70&gt;0,ISNUMBER(SEARCH($J70,INDEX('Data (paste export here)'!$1:$1,$I70)))),"✓","✗")</f>
        <v/>
      </c>
      <c r="H70" s="20" t="inlineStr">
        <is>
          <t>Q450[SQ004]</t>
        </is>
      </c>
      <c r="I70" s="20">
        <f>SUMPRODUCT((--ISNUMBER(SEARCH($H70,'Data (paste export here)'!$A$1:$HZ$1)))*COLUMN('Data (paste export here)'!$A$1:$HZ$1))</f>
        <v/>
      </c>
      <c r="J70" s="20" t="inlineStr">
        <is>
          <t>Access to GPU resources (e.g. for AI/ML workloads) at low or no cost</t>
        </is>
      </c>
      <c r="K70" s="20" t="inlineStr">
        <is>
          <t>Q450</t>
        </is>
      </c>
    </row>
    <row r="71" ht="15" customHeight="1" s="21">
      <c r="A71" s="41" t="inlineStr">
        <is>
          <t>Q450·SQ005</t>
        </is>
      </c>
      <c r="B71" s="40" t="inlineStr">
        <is>
          <t>Access to data storage infrastructure at low or no cost</t>
        </is>
      </c>
      <c r="C71" s="41" t="inlineStr">
        <is>
          <t>Support</t>
        </is>
      </c>
      <c r="D71" s="41" t="n"/>
      <c r="E71" s="41" t="n">
        <v>11</v>
      </c>
      <c r="F71" s="32">
        <f>IF($I71=0,"",IF(COUNTIF(OFFSET('Data (paste export here)'!$B$1,1,0,100000,1),"&lt;&gt;")=0,"",ROUND(COUNTIFS(OFFSET('Data (paste export here)'!$A$1,1,$I71-1,100000,1),"Yes",OFFSET('Data (paste export here)'!$B$1,1,0,100000,1),"&lt;&gt;")/COUNTIF(OFFSET('Data (paste export here)'!$B$1,1,0,100000,1),"&lt;&gt;")*100,0)))</f>
        <v/>
      </c>
      <c r="G71" s="41">
        <f>IF(AND($I71&gt;0,ISNUMBER(SEARCH($J71,INDEX('Data (paste export here)'!$1:$1,$I71)))),"✓","✗")</f>
        <v/>
      </c>
      <c r="H71" s="20" t="inlineStr">
        <is>
          <t>Q450[SQ005]</t>
        </is>
      </c>
      <c r="I71" s="20">
        <f>SUMPRODUCT((--ISNUMBER(SEARCH($H71,'Data (paste export here)'!$A$1:$HZ$1)))*COLUMN('Data (paste export here)'!$A$1:$HZ$1))</f>
        <v/>
      </c>
      <c r="J71" s="20" t="inlineStr">
        <is>
          <t>Access to data storage infrastructure at low or no cost</t>
        </is>
      </c>
      <c r="K71" s="20" t="inlineStr">
        <is>
          <t>Q450</t>
        </is>
      </c>
    </row>
    <row r="72" ht="15" customHeight="1" s="21">
      <c r="A72" s="41" t="inlineStr">
        <is>
          <t>Q450·SQ006</t>
        </is>
      </c>
      <c r="B72" s="40" t="inlineStr">
        <is>
          <t>Access to CI/CD pipelines and automated testing infrastructure at low or no cost</t>
        </is>
      </c>
      <c r="C72" s="41" t="inlineStr">
        <is>
          <t>Support</t>
        </is>
      </c>
      <c r="D72" s="41" t="n"/>
      <c r="E72" s="41" t="n">
        <v>11</v>
      </c>
      <c r="F72" s="32">
        <f>IF($I72=0,"",IF(COUNTIF(OFFSET('Data (paste export here)'!$B$1,1,0,100000,1),"&lt;&gt;")=0,"",ROUND(COUNTIFS(OFFSET('Data (paste export here)'!$A$1,1,$I72-1,100000,1),"Yes",OFFSET('Data (paste export here)'!$B$1,1,0,100000,1),"&lt;&gt;")/COUNTIF(OFFSET('Data (paste export here)'!$B$1,1,0,100000,1),"&lt;&gt;")*100,0)))</f>
        <v/>
      </c>
      <c r="G72" s="41">
        <f>IF(AND($I72&gt;0,ISNUMBER(SEARCH($J72,INDEX('Data (paste export here)'!$1:$1,$I72)))),"✓","✗")</f>
        <v/>
      </c>
      <c r="H72" s="20" t="inlineStr">
        <is>
          <t>Q450[SQ006]</t>
        </is>
      </c>
      <c r="I72" s="20">
        <f>SUMPRODUCT((--ISNUMBER(SEARCH($H72,'Data (paste export here)'!$A$1:$HZ$1)))*COLUMN('Data (paste export here)'!$A$1:$HZ$1))</f>
        <v/>
      </c>
      <c r="J72" s="20" t="inlineStr">
        <is>
          <t>Access to CI/CD pipelines and automated testing infrastructure at low or no cost</t>
        </is>
      </c>
      <c r="K72" s="20" t="inlineStr">
        <is>
          <t>Q450</t>
        </is>
      </c>
    </row>
    <row r="73" ht="15" customHeight="1" s="21">
      <c r="A73" s="41" t="inlineStr">
        <is>
          <t>Q450·SQ007</t>
        </is>
      </c>
      <c r="B73" s="40" t="inlineStr">
        <is>
          <t>Access to hosted test or staging environments at low or no cost</t>
        </is>
      </c>
      <c r="C73" s="41" t="inlineStr">
        <is>
          <t>Support</t>
        </is>
      </c>
      <c r="D73" s="41" t="n"/>
      <c r="E73" s="41" t="n">
        <v>11</v>
      </c>
      <c r="F73" s="32">
        <f>IF($I73=0,"",IF(COUNTIF(OFFSET('Data (paste export here)'!$B$1,1,0,100000,1),"&lt;&gt;")=0,"",ROUND(COUNTIFS(OFFSET('Data (paste export here)'!$A$1,1,$I73-1,100000,1),"Yes",OFFSET('Data (paste export here)'!$B$1,1,0,100000,1),"&lt;&gt;")/COUNTIF(OFFSET('Data (paste export here)'!$B$1,1,0,100000,1),"&lt;&gt;")*100,0)))</f>
        <v/>
      </c>
      <c r="G73" s="41">
        <f>IF(AND($I73&gt;0,ISNUMBER(SEARCH($J73,INDEX('Data (paste export here)'!$1:$1,$I73)))),"✓","✗")</f>
        <v/>
      </c>
      <c r="H73" s="20" t="inlineStr">
        <is>
          <t>Q450[SQ007]</t>
        </is>
      </c>
      <c r="I73" s="20">
        <f>SUMPRODUCT((--ISNUMBER(SEARCH($H73,'Data (paste export here)'!$A$1:$HZ$1)))*COLUMN('Data (paste export here)'!$A$1:$HZ$1))</f>
        <v/>
      </c>
      <c r="J73" s="20" t="inlineStr">
        <is>
          <t>Access to hosted test or staging environments at low or no cost</t>
        </is>
      </c>
      <c r="K73" s="20" t="inlineStr">
        <is>
          <t>Q450</t>
        </is>
      </c>
    </row>
    <row r="74" ht="15" customHeight="1" s="21">
      <c r="A74" s="41" t="inlineStr">
        <is>
          <t>Q450·SQ008</t>
        </is>
      </c>
      <c r="B74" s="40" t="inlineStr">
        <is>
          <t>Access to licensed software, SaaS tools, or development platforms at low or no cost</t>
        </is>
      </c>
      <c r="C74" s="41" t="inlineStr">
        <is>
          <t>Support</t>
        </is>
      </c>
      <c r="D74" s="41" t="n"/>
      <c r="E74" s="41" t="n">
        <v>11</v>
      </c>
      <c r="F74" s="32">
        <f>IF($I74=0,"",IF(COUNTIF(OFFSET('Data (paste export here)'!$B$1,1,0,100000,1),"&lt;&gt;")=0,"",ROUND(COUNTIFS(OFFSET('Data (paste export here)'!$A$1,1,$I74-1,100000,1),"Yes",OFFSET('Data (paste export here)'!$B$1,1,0,100000,1),"&lt;&gt;")/COUNTIF(OFFSET('Data (paste export here)'!$B$1,1,0,100000,1),"&lt;&gt;")*100,0)))</f>
        <v/>
      </c>
      <c r="G74" s="41">
        <f>IF(AND($I74&gt;0,ISNUMBER(SEARCH($J74,INDEX('Data (paste export here)'!$1:$1,$I74)))),"✓","✗")</f>
        <v/>
      </c>
      <c r="H74" s="20" t="inlineStr">
        <is>
          <t>Q450[SQ008]</t>
        </is>
      </c>
      <c r="I74" s="20">
        <f>SUMPRODUCT((--ISNUMBER(SEARCH($H74,'Data (paste export here)'!$A$1:$HZ$1)))*COLUMN('Data (paste export here)'!$A$1:$HZ$1))</f>
        <v/>
      </c>
      <c r="J74" s="20" t="inlineStr">
        <is>
          <t>Access to licensed software, SaaS tools, or development platforms at low or no cost</t>
        </is>
      </c>
      <c r="K74" s="20" t="inlineStr">
        <is>
          <t>Q450</t>
        </is>
      </c>
    </row>
    <row r="75" ht="15" customHeight="1" s="21">
      <c r="A75" s="41" t="inlineStr">
        <is>
          <t>Q460·SQ001</t>
        </is>
      </c>
      <c r="B75" s="40" t="inlineStr">
        <is>
          <t>Internal advocacy support to secure organisational buy-in for open source</t>
        </is>
      </c>
      <c r="C75" s="41" t="inlineStr">
        <is>
          <t>Support</t>
        </is>
      </c>
      <c r="D75" s="41" t="n"/>
      <c r="E75" s="41" t="n">
        <v>8</v>
      </c>
      <c r="F75" s="32">
        <f>IF($I75=0,"",IF(COUNTIF(OFFSET('Data (paste export here)'!$B$1,1,0,100000,1),"&lt;&gt;")=0,"",ROUND(COUNTIFS(OFFSET('Data (paste export here)'!$A$1,1,$I75-1,100000,1),"Yes",OFFSET('Data (paste export here)'!$B$1,1,0,100000,1),"&lt;&gt;")/COUNTIF(OFFSET('Data (paste export here)'!$B$1,1,0,100000,1),"&lt;&gt;")*100,0)))</f>
        <v/>
      </c>
      <c r="G75" s="41">
        <f>IF(AND($I75&gt;0,ISNUMBER(SEARCH($J75,INDEX('Data (paste export here)'!$1:$1,$I75)))),"✓","✗")</f>
        <v/>
      </c>
      <c r="H75" s="20" t="inlineStr">
        <is>
          <t>Q460[SQ001]</t>
        </is>
      </c>
      <c r="I75" s="20">
        <f>SUMPRODUCT((--ISNUMBER(SEARCH($H75,'Data (paste export here)'!$A$1:$HZ$1)))*COLUMN('Data (paste export here)'!$A$1:$HZ$1))</f>
        <v/>
      </c>
      <c r="J75" s="20" t="inlineStr">
        <is>
          <t>Internal advocacy support to secure organisational buy-in for open source</t>
        </is>
      </c>
      <c r="K75" s="20" t="inlineStr">
        <is>
          <t>Q460</t>
        </is>
      </c>
    </row>
    <row r="76" ht="15" customHeight="1" s="21">
      <c r="A76" s="41" t="inlineStr">
        <is>
          <t>Q460·SQ002</t>
        </is>
      </c>
      <c r="B76" s="40" t="inlineStr">
        <is>
          <t>Marketing and promotion support for my open source projects</t>
        </is>
      </c>
      <c r="C76" s="41" t="inlineStr">
        <is>
          <t>Support</t>
        </is>
      </c>
      <c r="D76" s="41" t="n"/>
      <c r="E76" s="41" t="n">
        <v>12</v>
      </c>
      <c r="F76" s="32">
        <f>IF($I76=0,"",IF(COUNTIF(OFFSET('Data (paste export here)'!$B$1,1,0,100000,1),"&lt;&gt;")=0,"",ROUND(COUNTIFS(OFFSET('Data (paste export here)'!$A$1,1,$I76-1,100000,1),"Yes",OFFSET('Data (paste export here)'!$B$1,1,0,100000,1),"&lt;&gt;")/COUNTIF(OFFSET('Data (paste export here)'!$B$1,1,0,100000,1),"&lt;&gt;")*100,0)))</f>
        <v/>
      </c>
      <c r="G76" s="41">
        <f>IF(AND($I76&gt;0,ISNUMBER(SEARCH($J76,INDEX('Data (paste export here)'!$1:$1,$I76)))),"✓","✗")</f>
        <v/>
      </c>
      <c r="H76" s="20" t="inlineStr">
        <is>
          <t>Q460[SQ002]</t>
        </is>
      </c>
      <c r="I76" s="20">
        <f>SUMPRODUCT((--ISNUMBER(SEARCH($H76,'Data (paste export here)'!$A$1:$HZ$1)))*COLUMN('Data (paste export here)'!$A$1:$HZ$1))</f>
        <v/>
      </c>
      <c r="J76" s="20" t="inlineStr">
        <is>
          <t>Marketing and promotion support for my open source projects</t>
        </is>
      </c>
      <c r="K76" s="20" t="inlineStr">
        <is>
          <t>Q460</t>
        </is>
      </c>
    </row>
    <row r="77" ht="15" customHeight="1" s="21">
      <c r="A77" s="41" t="inlineStr">
        <is>
          <t>Q460·SQ003</t>
        </is>
      </c>
      <c r="B77" s="40" t="inlineStr">
        <is>
          <t>Help hosting, planning, or co-sponsoring open source events (e.g. conferences and hackathons)</t>
        </is>
      </c>
      <c r="C77" s="41" t="inlineStr">
        <is>
          <t>Support</t>
        </is>
      </c>
      <c r="D77" s="41" t="n"/>
      <c r="E77" s="41" t="n">
        <v>12</v>
      </c>
      <c r="F77" s="32">
        <f>IF($I77=0,"",IF(COUNTIF(OFFSET('Data (paste export here)'!$B$1,1,0,100000,1),"&lt;&gt;")=0,"",ROUND(COUNTIFS(OFFSET('Data (paste export here)'!$A$1,1,$I77-1,100000,1),"Yes",OFFSET('Data (paste export here)'!$B$1,1,0,100000,1),"&lt;&gt;")/COUNTIF(OFFSET('Data (paste export here)'!$B$1,1,0,100000,1),"&lt;&gt;")*100,0)))</f>
        <v/>
      </c>
      <c r="G77" s="41">
        <f>IF(AND($I77&gt;0,ISNUMBER(SEARCH($J77,INDEX('Data (paste export here)'!$1:$1,$I77)))),"✓","✗")</f>
        <v/>
      </c>
      <c r="H77" s="20" t="inlineStr">
        <is>
          <t>Q460[SQ003]</t>
        </is>
      </c>
      <c r="I77" s="20">
        <f>SUMPRODUCT((--ISNUMBER(SEARCH($H77,'Data (paste export here)'!$A$1:$HZ$1)))*COLUMN('Data (paste export here)'!$A$1:$HZ$1))</f>
        <v/>
      </c>
      <c r="J77" s="20" t="inlineStr">
        <is>
          <t>Help hosting, planning, or co-sponsoring open source events (e.g. conferences and hackathons)</t>
        </is>
      </c>
      <c r="K77" s="20" t="inlineStr">
        <is>
          <t>Q460</t>
        </is>
      </c>
    </row>
    <row r="78" ht="15" customHeight="1" s="21">
      <c r="A78" s="41" t="inlineStr">
        <is>
          <t>Q460·SQ004</t>
        </is>
      </c>
      <c r="B78" s="40" t="inlineStr">
        <is>
          <t>Support building partnerships and collaborations with external organisations</t>
        </is>
      </c>
      <c r="C78" s="41" t="inlineStr">
        <is>
          <t>Support</t>
        </is>
      </c>
      <c r="D78" s="41" t="n"/>
      <c r="E78" s="41" t="n">
        <v>12</v>
      </c>
      <c r="F78" s="32">
        <f>IF($I78=0,"",IF(COUNTIF(OFFSET('Data (paste export here)'!$B$1,1,0,100000,1),"&lt;&gt;")=0,"",ROUND(COUNTIFS(OFFSET('Data (paste export here)'!$A$1,1,$I78-1,100000,1),"Yes",OFFSET('Data (paste export here)'!$B$1,1,0,100000,1),"&lt;&gt;")/COUNTIF(OFFSET('Data (paste export here)'!$B$1,1,0,100000,1),"&lt;&gt;")*100,0)))</f>
        <v/>
      </c>
      <c r="G78" s="41">
        <f>IF(AND($I78&gt;0,ISNUMBER(SEARCH($J78,INDEX('Data (paste export here)'!$1:$1,$I78)))),"✓","✗")</f>
        <v/>
      </c>
      <c r="H78" s="20" t="inlineStr">
        <is>
          <t>Q460[SQ004]</t>
        </is>
      </c>
      <c r="I78" s="20">
        <f>SUMPRODUCT((--ISNUMBER(SEARCH($H78,'Data (paste export here)'!$A$1:$HZ$1)))*COLUMN('Data (paste export here)'!$A$1:$HZ$1))</f>
        <v/>
      </c>
      <c r="J78" s="20" t="inlineStr">
        <is>
          <t>Support building partnerships and collaborations with external organisations</t>
        </is>
      </c>
      <c r="K78" s="20" t="inlineStr">
        <is>
          <t>Q460</t>
        </is>
      </c>
    </row>
    <row r="79" ht="15" customHeight="1" s="21">
      <c r="A79" s="41" t="inlineStr">
        <is>
          <t>Q460·SQ005</t>
        </is>
      </c>
      <c r="B79" s="40" t="inlineStr">
        <is>
          <t>Support communicating or measuring the societal impact of my open source work</t>
        </is>
      </c>
      <c r="C79" s="41" t="inlineStr">
        <is>
          <t>Support</t>
        </is>
      </c>
      <c r="D79" s="41" t="n"/>
      <c r="E79" s="41" t="n">
        <v>10</v>
      </c>
      <c r="F79" s="32">
        <f>IF($I79=0,"",IF(COUNTIF(OFFSET('Data (paste export here)'!$B$1,1,0,100000,1),"&lt;&gt;")=0,"",ROUND(COUNTIFS(OFFSET('Data (paste export here)'!$A$1,1,$I79-1,100000,1),"Yes",OFFSET('Data (paste export here)'!$B$1,1,0,100000,1),"&lt;&gt;")/COUNTIF(OFFSET('Data (paste export here)'!$B$1,1,0,100000,1),"&lt;&gt;")*100,0)))</f>
        <v/>
      </c>
      <c r="G79" s="41">
        <f>IF(AND($I79&gt;0,ISNUMBER(SEARCH($J79,INDEX('Data (paste export here)'!$1:$1,$I79)))),"✓","✗")</f>
        <v/>
      </c>
      <c r="H79" s="20" t="inlineStr">
        <is>
          <t>Q460[SQ005]</t>
        </is>
      </c>
      <c r="I79" s="20">
        <f>SUMPRODUCT((--ISNUMBER(SEARCH($H79,'Data (paste export here)'!$A$1:$HZ$1)))*COLUMN('Data (paste export here)'!$A$1:$HZ$1))</f>
        <v/>
      </c>
      <c r="J79" s="20" t="inlineStr">
        <is>
          <t>Support communicating or measuring the societal impact of my open source work</t>
        </is>
      </c>
      <c r="K79" s="20" t="inlineStr">
        <is>
          <t>Q460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5" customWidth="1" style="20" min="1" max="1"/>
    <col width="44" customWidth="1" style="20" min="2" max="2"/>
    <col width="15" customWidth="1" style="20" min="3" max="5"/>
  </cols>
  <sheetData>
    <row r="1" ht="26.25" customHeight="1" s="21">
      <c r="A1" s="29" t="inlineStr">
        <is>
          <t>#</t>
        </is>
      </c>
      <c r="B1" s="29" t="inlineStr">
        <is>
          <t>Academic OSPO service</t>
        </is>
      </c>
      <c r="C1" s="29" t="inlineStr">
        <is>
          <t>Maturity %</t>
        </is>
      </c>
      <c r="D1" s="29" t="inlineStr">
        <is>
          <t>Demand %</t>
        </is>
      </c>
      <c r="E1" s="29" t="inlineStr">
        <is>
          <t>Gap (Demand − Maturity)</t>
        </is>
      </c>
    </row>
    <row r="2" ht="15" customHeight="1" s="21">
      <c r="A2" s="33" t="n">
        <v>1</v>
      </c>
      <c r="B2" s="40" t="inlineStr">
        <is>
          <t>OSPO Strategy &amp; Vision</t>
        </is>
      </c>
      <c r="C2" s="33">
        <f>IFERROR(AVERAGEIFS('Item results (auto)'!$F$2:$F$79,'Item results (auto)'!$E$2:$E$79,$A2,'Item results (auto)'!$C$2:$C$79,"Maturity"),"")</f>
        <v/>
      </c>
      <c r="D2" s="33">
        <f>IFERROR(AVERAGEIFS('Item results (auto)'!$F$2:$F$79,'Item results (auto)'!$E$2:$E$79,$A2,'Item results (auto)'!$C$2:$C$79,"Support"),"")</f>
        <v/>
      </c>
      <c r="E2" s="33">
        <f>IF(OR($D2="",$C2=""),"—",$D2-$C2)</f>
        <v/>
      </c>
    </row>
    <row r="3" ht="15" customHeight="1" s="21">
      <c r="A3" s="33" t="n">
        <v>2</v>
      </c>
      <c r="B3" s="40" t="inlineStr">
        <is>
          <t>Community of Practice</t>
        </is>
      </c>
      <c r="C3" s="33">
        <f>IFERROR(AVERAGEIFS('Item results (auto)'!$F$2:$F$79,'Item results (auto)'!$E$2:$E$79,$A3,'Item results (auto)'!$C$2:$C$79,"Maturity"),"")</f>
        <v/>
      </c>
      <c r="D3" s="33">
        <f>IFERROR(AVERAGEIFS('Item results (auto)'!$F$2:$F$79,'Item results (auto)'!$E$2:$E$79,$A3,'Item results (auto)'!$C$2:$C$79,"Support"),"")</f>
        <v/>
      </c>
      <c r="E3" s="33">
        <f>IF(OR($D3="",$C3=""),"—",$D3-$C3)</f>
        <v/>
      </c>
    </row>
    <row r="4" ht="15" customHeight="1" s="21">
      <c r="A4" s="33" t="n">
        <v>3</v>
      </c>
      <c r="B4" s="40" t="inlineStr">
        <is>
          <t>Project Lifecycle Support &amp; Maintenance</t>
        </is>
      </c>
      <c r="C4" s="33">
        <f>IFERROR(AVERAGEIFS('Item results (auto)'!$F$2:$F$79,'Item results (auto)'!$E$2:$E$79,$A4,'Item results (auto)'!$C$2:$C$79,"Maturity"),"")</f>
        <v/>
      </c>
      <c r="D4" s="33">
        <f>IFERROR(AVERAGEIFS('Item results (auto)'!$F$2:$F$79,'Item results (auto)'!$E$2:$E$79,$A4,'Item results (auto)'!$C$2:$C$79,"Support"),"")</f>
        <v/>
      </c>
      <c r="E4" s="33">
        <f>IF(OR($D4="",$C4=""),"—",$D4-$C4)</f>
        <v/>
      </c>
    </row>
    <row r="5" ht="15" customHeight="1" s="21">
      <c r="A5" s="33" t="n">
        <v>4</v>
      </c>
      <c r="B5" s="40" t="inlineStr">
        <is>
          <t>License &amp; IPR Compliance</t>
        </is>
      </c>
      <c r="C5" s="33">
        <f>IFERROR(AVERAGEIFS('Item results (auto)'!$F$2:$F$79,'Item results (auto)'!$E$2:$E$79,$A5,'Item results (auto)'!$C$2:$C$79,"Maturity"),"")</f>
        <v/>
      </c>
      <c r="D5" s="33">
        <f>IFERROR(AVERAGEIFS('Item results (auto)'!$F$2:$F$79,'Item results (auto)'!$E$2:$E$79,$A5,'Item results (auto)'!$C$2:$C$79,"Support"),"")</f>
        <v/>
      </c>
      <c r="E5" s="33">
        <f>IF(OR($D5="",$C5=""),"—",$D5-$C5)</f>
        <v/>
      </c>
    </row>
    <row r="6" ht="15" customHeight="1" s="21">
      <c r="A6" s="33" t="n">
        <v>5</v>
      </c>
      <c r="B6" s="40" t="inlineStr">
        <is>
          <t>Supply-Chain Security &amp; SBOM</t>
        </is>
      </c>
      <c r="C6" s="33">
        <f>IFERROR(AVERAGEIFS('Item results (auto)'!$F$2:$F$79,'Item results (auto)'!$E$2:$E$79,$A6,'Item results (auto)'!$C$2:$C$79,"Maturity"),"")</f>
        <v/>
      </c>
      <c r="D6" s="33">
        <f>IFERROR(AVERAGEIFS('Item results (auto)'!$F$2:$F$79,'Item results (auto)'!$E$2:$E$79,$A6,'Item results (auto)'!$C$2:$C$79,"Support"),"")</f>
        <v/>
      </c>
      <c r="E6" s="33">
        <f>IF(OR($D6="",$C6=""),"—",$D6-$C6)</f>
        <v/>
      </c>
    </row>
    <row r="7" ht="15" customHeight="1" s="21">
      <c r="A7" s="33" t="n">
        <v>6</v>
      </c>
      <c r="B7" s="40" t="inlineStr">
        <is>
          <t>Choosing, Using &amp; Procuring Open Source</t>
        </is>
      </c>
      <c r="C7" s="33">
        <f>IFERROR(AVERAGEIFS('Item results (auto)'!$F$2:$F$79,'Item results (auto)'!$E$2:$E$79,$A7,'Item results (auto)'!$C$2:$C$79,"Maturity"),"")</f>
        <v/>
      </c>
      <c r="D7" s="33">
        <f>IFERROR(AVERAGEIFS('Item results (auto)'!$F$2:$F$79,'Item results (auto)'!$E$2:$E$79,$A7,'Item results (auto)'!$C$2:$C$79,"Support"),"")</f>
        <v/>
      </c>
      <c r="E7" s="33">
        <f>IF(OR($D7="",$C7=""),"—",$D7-$C7)</f>
        <v/>
      </c>
    </row>
    <row r="8" ht="15" customHeight="1" s="21">
      <c r="A8" s="33" t="n">
        <v>7</v>
      </c>
      <c r="B8" s="40" t="inlineStr">
        <is>
          <t>Open-Sourcing Guidance</t>
        </is>
      </c>
      <c r="C8" s="33">
        <f>IFERROR(AVERAGEIFS('Item results (auto)'!$F$2:$F$79,'Item results (auto)'!$E$2:$E$79,$A8,'Item results (auto)'!$C$2:$C$79,"Maturity"),"")</f>
        <v/>
      </c>
      <c r="D8" s="33">
        <f>IFERROR(AVERAGEIFS('Item results (auto)'!$F$2:$F$79,'Item results (auto)'!$E$2:$E$79,$A8,'Item results (auto)'!$C$2:$C$79,"Support"),"")</f>
        <v/>
      </c>
      <c r="E8" s="33">
        <f>IF(OR($D8="",$C8=""),"—",$D8-$C8)</f>
        <v/>
      </c>
    </row>
    <row r="9" ht="15" customHeight="1" s="21">
      <c r="A9" s="33" t="n">
        <v>8</v>
      </c>
      <c r="B9" s="40" t="inlineStr">
        <is>
          <t>Internal Advocacy &amp; Buy-In</t>
        </is>
      </c>
      <c r="C9" s="33">
        <f>IFERROR(AVERAGEIFS('Item results (auto)'!$F$2:$F$79,'Item results (auto)'!$E$2:$E$79,$A9,'Item results (auto)'!$C$2:$C$79,"Maturity"),"")</f>
        <v/>
      </c>
      <c r="D9" s="33">
        <f>IFERROR(AVERAGEIFS('Item results (auto)'!$F$2:$F$79,'Item results (auto)'!$E$2:$E$79,$A9,'Item results (auto)'!$C$2:$C$79,"Support"),"")</f>
        <v/>
      </c>
      <c r="E9" s="33">
        <f>IF(OR($D9="",$C9=""),"—",$D9-$C9)</f>
        <v/>
      </c>
    </row>
    <row r="10" ht="15" customHeight="1" s="21">
      <c r="A10" s="33" t="n">
        <v>9</v>
      </c>
      <c r="B10" s="40" t="inlineStr">
        <is>
          <t>Sustainability &amp; Funding Support</t>
        </is>
      </c>
      <c r="C10" s="33">
        <f>IFERROR(AVERAGEIFS('Item results (auto)'!$F$2:$F$79,'Item results (auto)'!$E$2:$E$79,$A10,'Item results (auto)'!$C$2:$C$79,"Maturity"),"")</f>
        <v/>
      </c>
      <c r="D10" s="33">
        <f>IFERROR(AVERAGEIFS('Item results (auto)'!$F$2:$F$79,'Item results (auto)'!$E$2:$E$79,$A10,'Item results (auto)'!$C$2:$C$79,"Support"),"")</f>
        <v/>
      </c>
      <c r="E10" s="33">
        <f>IF(OR($D10="",$C10=""),"—",$D10-$C10)</f>
        <v/>
      </c>
    </row>
    <row r="11" ht="15" customHeight="1" s="21">
      <c r="A11" s="33" t="n">
        <v>10</v>
      </c>
      <c r="B11" s="40" t="inlineStr">
        <is>
          <t>Impact Measurement</t>
        </is>
      </c>
      <c r="C11" s="33">
        <f>IFERROR(AVERAGEIFS('Item results (auto)'!$F$2:$F$79,'Item results (auto)'!$E$2:$E$79,$A11,'Item results (auto)'!$C$2:$C$79,"Maturity"),"")</f>
        <v/>
      </c>
      <c r="D11" s="33">
        <f>IFERROR(AVERAGEIFS('Item results (auto)'!$F$2:$F$79,'Item results (auto)'!$E$2:$E$79,$A11,'Item results (auto)'!$C$2:$C$79,"Support"),"")</f>
        <v/>
      </c>
      <c r="E11" s="33">
        <f>IF(OR($D11="",$C11=""),"—",$D11-$C11)</f>
        <v/>
      </c>
    </row>
    <row r="12" ht="15" customHeight="1" s="21">
      <c r="A12" s="33" t="n">
        <v>11</v>
      </c>
      <c r="B12" s="40" t="inlineStr">
        <is>
          <t>Developer Tooling &amp; Infrastructure</t>
        </is>
      </c>
      <c r="C12" s="33">
        <f>IFERROR(AVERAGEIFS('Item results (auto)'!$F$2:$F$79,'Item results (auto)'!$E$2:$E$79,$A12,'Item results (auto)'!$C$2:$C$79,"Maturity"),"")</f>
        <v/>
      </c>
      <c r="D12" s="33">
        <f>IFERROR(AVERAGEIFS('Item results (auto)'!$F$2:$F$79,'Item results (auto)'!$E$2:$E$79,$A12,'Item results (auto)'!$C$2:$C$79,"Support"),"")</f>
        <v/>
      </c>
      <c r="E12" s="33">
        <f>IF(OR($D12="",$C12=""),"—",$D12-$C12)</f>
        <v/>
      </c>
    </row>
    <row r="13" ht="15" customHeight="1" s="21">
      <c r="A13" s="33" t="n">
        <v>12</v>
      </c>
      <c r="B13" s="40" t="inlineStr">
        <is>
          <t>Outreach &amp; Events</t>
        </is>
      </c>
      <c r="C13" s="33">
        <f>IFERROR(AVERAGEIFS('Item results (auto)'!$F$2:$F$79,'Item results (auto)'!$E$2:$E$79,$A13,'Item results (auto)'!$C$2:$C$79,"Maturity"),"")</f>
        <v/>
      </c>
      <c r="D13" s="33">
        <f>IFERROR(AVERAGEIFS('Item results (auto)'!$F$2:$F$79,'Item results (auto)'!$E$2:$E$79,$A13,'Item results (auto)'!$C$2:$C$79,"Support"),"")</f>
        <v/>
      </c>
      <c r="E13" s="33">
        <f>IF(OR($D13="",$C13=""),"—",$D13-$C13)</f>
        <v/>
      </c>
    </row>
    <row r="14" ht="15" customHeight="1" s="21">
      <c r="A14" s="33" t="n">
        <v>13</v>
      </c>
      <c r="B14" s="40" t="inlineStr">
        <is>
          <t>Open Source AI Policy</t>
        </is>
      </c>
      <c r="C14" s="33">
        <f>IFERROR(AVERAGEIFS('Item results (auto)'!$F$2:$F$79,'Item results (auto)'!$E$2:$E$79,$A14,'Item results (auto)'!$C$2:$C$79,"Maturity"),"")</f>
        <v/>
      </c>
      <c r="D14" s="33">
        <f>IFERROR(AVERAGEIFS('Item results (auto)'!$F$2:$F$79,'Item results (auto)'!$E$2:$E$79,$A14,'Item results (auto)'!$C$2:$C$79,"Support"),"")</f>
        <v/>
      </c>
      <c r="E14" s="33">
        <f>IF(OR($D14="",$C14=""),"—",$D14-$C14)</f>
        <v/>
      </c>
    </row>
  </sheetData>
  <conditionalFormatting sqref="E2:E14">
    <cfRule type="colorScale" priority="2">
      <colorScale>
        <cfvo type="num" val="-20"/>
        <cfvo type="num" val="20"/>
        <cfvo type="num" val="60"/>
        <color rgb="FF63BE7B"/>
        <color rgb="FFFFEB84"/>
        <color rgb="FFF8696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0" min="1" max="1"/>
    <col width="56" customWidth="1" style="20" min="2" max="2"/>
    <col width="14" customWidth="1" style="20" min="3" max="3"/>
  </cols>
  <sheetData>
    <row r="1" ht="26.25" customHeight="1" s="21">
      <c r="A1" s="29" t="inlineStr">
        <is>
          <t>OSMM level</t>
        </is>
      </c>
      <c r="B1" s="29" t="inlineStr">
        <is>
          <t>What it covers</t>
        </is>
      </c>
      <c r="C1" s="29" t="inlineStr">
        <is>
          <t>Maturity %</t>
        </is>
      </c>
    </row>
    <row r="2" ht="15" customHeight="1" s="21">
      <c r="A2" s="41" t="inlineStr">
        <is>
          <t>L2</t>
        </is>
      </c>
      <c r="B2" s="40" t="inlineStr">
        <is>
          <t>Compliant usage — governance, policy, compliance, security</t>
        </is>
      </c>
      <c r="C2" s="33">
        <f>IFERROR(AVERAGEIFS('Item results (auto)'!$F$2:$F$79,'Item results (auto)'!$C$2:$C$79,"Maturity",'Item results (auto)'!$D$2:$D$79,$A2),"")</f>
        <v/>
      </c>
    </row>
    <row r="3" ht="15" customHeight="1" s="21">
      <c r="A3" s="41" t="inlineStr">
        <is>
          <t>L3</t>
        </is>
      </c>
      <c r="B3" s="40" t="inlineStr">
        <is>
          <t>Contribution — publishing, reviewing, rewarding</t>
        </is>
      </c>
      <c r="C3" s="33">
        <f>IFERROR(AVERAGEIFS('Item results (auto)'!$F$2:$F$79,'Item results (auto)'!$C$2:$C$79,"Maturity",'Item results (auto)'!$D$2:$D$79,$A3),"")</f>
        <v/>
      </c>
    </row>
    <row r="4" ht="15" customHeight="1" s="21">
      <c r="A4" s="41" t="inlineStr">
        <is>
          <t>L4</t>
        </is>
      </c>
      <c r="B4" s="40" t="inlineStr">
        <is>
          <t>Engagement &amp; hosting — maintains projects, foundations, metrics</t>
        </is>
      </c>
      <c r="C4" s="33">
        <f>IFERROR(AVERAGEIFS('Item results (auto)'!$F$2:$F$79,'Item results (auto)'!$C$2:$C$79,"Maturity",'Item results (auto)'!$D$2:$D$79,$A4),"")</f>
        <v/>
      </c>
    </row>
    <row r="5" ht="15" customHeight="1" s="21">
      <c r="A5" s="41" t="inlineStr">
        <is>
          <t>L5</t>
        </is>
      </c>
      <c r="B5" s="40" t="inlineStr">
        <is>
          <t>Leadership &amp; strategy — strategy, sustainability, mission</t>
        </is>
      </c>
      <c r="C5" s="33">
        <f>IFERROR(AVERAGEIFS('Item results (auto)'!$F$2:$F$79,'Item results (auto)'!$C$2:$C$79,"Maturity",'Item results (auto)'!$D$2:$D$79,$A5),"")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2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6" customWidth="1" style="20" min="1" max="1"/>
    <col width="12" customWidth="1" style="20" min="2" max="2"/>
    <col width="95" customWidth="1" style="20" min="3" max="3"/>
  </cols>
  <sheetData>
    <row r="1" ht="17.25" customHeight="1" s="21">
      <c r="A1" s="34" t="inlineStr">
        <is>
          <t>Write-in comments</t>
        </is>
      </c>
    </row>
    <row r="2" ht="15" customHeight="1" s="21">
      <c r="A2" s="35" t="inlineStr">
        <is>
          <t>Each row gathers the non-empty free-text answers for one question (joined with •). Pulled live from the pasted data.</t>
        </is>
      </c>
    </row>
    <row r="4" ht="26.25" customHeight="1" s="21">
      <c r="A4" s="29" t="inlineStr">
        <is>
          <t>Topic</t>
        </is>
      </c>
      <c r="B4" s="29" t="inlineStr">
        <is>
          <t># responses</t>
        </is>
      </c>
      <c r="C4" s="29" t="inlineStr">
        <is>
          <t>Comments</t>
        </is>
      </c>
    </row>
    <row r="5" ht="23.25" customHeight="1" s="21">
      <c r="A5" s="36" t="inlineStr">
        <is>
          <t>Respondent's unit / department</t>
        </is>
      </c>
      <c r="B5" s="37">
        <f>COUNTA(OFFSET('Data (paste export here)'!$A$1,1,SUMPRODUCT((--ISNUMBER(SEARCH("Q10[comment]",'Data (paste export here)'!$A$1:$HZ$1)))*COLUMN('Data (paste export here)'!$A$1:$HZ$1))-1,10000,1))</f>
        <v/>
      </c>
      <c r="C5" s="38">
        <f>_xlfn.TEXTJOIN(" • ",TRUE(),OFFSET('Data (paste export here)'!$A$1,1,SUMPRODUCT((--ISNUMBER(SEARCH("Q10[comment]",'Data (paste export here)'!$A$1:$HZ$1)))*COLUMN('Data (paste export here)'!$A$1:$HZ$1))-1,10000,1))</f>
        <v/>
      </c>
    </row>
    <row r="6" ht="45.75" customHeight="1" s="21">
      <c r="A6" s="36" t="inlineStr">
        <is>
          <t>Where support lives — Policy &amp; OSPO</t>
        </is>
      </c>
      <c r="B6" s="37">
        <f>COUNTA(OFFSET('Data (paste export here)'!$A$1,1,SUMPRODUCT((--ISNUMBER(SEARCH("Q301.",'Data (paste export here)'!$A$1:$HZ$1)))*COLUMN('Data (paste export here)'!$A$1:$HZ$1))-1,10000,1))</f>
        <v/>
      </c>
      <c r="C6" s="38">
        <f>_xlfn.TEXTJOIN(" • ",TRUE(),OFFSET('Data (paste export here)'!$A$1,1,SUMPRODUCT((--ISNUMBER(SEARCH("Q301.",'Data (paste export here)'!$A$1:$HZ$1)))*COLUMN('Data (paste export here)'!$A$1:$HZ$1))-1,10000,1))</f>
        <v/>
      </c>
    </row>
    <row r="7" ht="57" customHeight="1" s="21">
      <c r="A7" s="36" t="inlineStr">
        <is>
          <t>Where support lives — Compliance and risk</t>
        </is>
      </c>
      <c r="B7" s="37">
        <f>COUNTA(OFFSET('Data (paste export here)'!$A$1,1,SUMPRODUCT((--ISNUMBER(SEARCH("Q311.",'Data (paste export here)'!$A$1:$HZ$1)))*COLUMN('Data (paste export here)'!$A$1:$HZ$1))-1,10000,1))</f>
        <v/>
      </c>
      <c r="C7" s="38">
        <f>_xlfn.TEXTJOIN(" • ",TRUE(),OFFSET('Data (paste export here)'!$A$1,1,SUMPRODUCT((--ISNUMBER(SEARCH("Q311.",'Data (paste export here)'!$A$1:$HZ$1)))*COLUMN('Data (paste export here)'!$A$1:$HZ$1))-1,10000,1))</f>
        <v/>
      </c>
    </row>
    <row r="8" ht="45.75" customHeight="1" s="21">
      <c r="A8" s="36" t="inlineStr">
        <is>
          <t>Where support lives — Security &amp; supply chain</t>
        </is>
      </c>
      <c r="B8" s="37">
        <f>COUNTA(OFFSET('Data (paste export here)'!$A$1,1,SUMPRODUCT((--ISNUMBER(SEARCH("Q321.",'Data (paste export here)'!$A$1:$HZ$1)))*COLUMN('Data (paste export here)'!$A$1:$HZ$1))-1,10000,1))</f>
        <v/>
      </c>
      <c r="C8" s="38">
        <f>_xlfn.TEXTJOIN(" • ",TRUE(),OFFSET('Data (paste export here)'!$A$1,1,SUMPRODUCT((--ISNUMBER(SEARCH("Q321.",'Data (paste export here)'!$A$1:$HZ$1)))*COLUMN('Data (paste export here)'!$A$1:$HZ$1))-1,10000,1))</f>
        <v/>
      </c>
    </row>
    <row r="9" ht="57" customHeight="1" s="21">
      <c r="A9" s="36" t="inlineStr">
        <is>
          <t>Where support lives — Selection, use &amp; procurement</t>
        </is>
      </c>
      <c r="B9" s="37">
        <f>COUNTA(OFFSET('Data (paste export here)'!$A$1,1,SUMPRODUCT((--ISNUMBER(SEARCH("Q331.",'Data (paste export here)'!$A$1:$HZ$1)))*COLUMN('Data (paste export here)'!$A$1:$HZ$1))-1,10000,1))</f>
        <v/>
      </c>
      <c r="C9" s="38">
        <f>_xlfn.TEXTJOIN(" • ",TRUE(),OFFSET('Data (paste export here)'!$A$1,1,SUMPRODUCT((--ISNUMBER(SEARCH("Q331.",'Data (paste export here)'!$A$1:$HZ$1)))*COLUMN('Data (paste export here)'!$A$1:$HZ$1))-1,10000,1))</f>
        <v/>
      </c>
    </row>
    <row r="10" ht="57" customHeight="1" s="21">
      <c r="A10" s="36" t="inlineStr">
        <is>
          <t>Where support lives — Open source contribution</t>
        </is>
      </c>
      <c r="B10" s="37">
        <f>COUNTA(OFFSET('Data (paste export here)'!$A$1,1,SUMPRODUCT((--ISNUMBER(SEARCH("Q341.",'Data (paste export here)'!$A$1:$HZ$1)))*COLUMN('Data (paste export here)'!$A$1:$HZ$1))-1,10000,1))</f>
        <v/>
      </c>
      <c r="C10" s="38">
        <f>_xlfn.TEXTJOIN(" • ",TRUE(),OFFSET('Data (paste export here)'!$A$1,1,SUMPRODUCT((--ISNUMBER(SEARCH("Q341.",'Data (paste export here)'!$A$1:$HZ$1)))*COLUMN('Data (paste export here)'!$A$1:$HZ$1))-1,10000,1))</f>
        <v/>
      </c>
    </row>
    <row r="11" ht="57" customHeight="1" s="21">
      <c r="A11" s="36" t="inlineStr">
        <is>
          <t>Where support lives — Community and outreach</t>
        </is>
      </c>
      <c r="B11" s="37">
        <f>COUNTA(OFFSET('Data (paste export here)'!$A$1,1,SUMPRODUCT((--ISNUMBER(SEARCH("Q351.",'Data (paste export here)'!$A$1:$HZ$1)))*COLUMN('Data (paste export here)'!$A$1:$HZ$1))-1,10000,1))</f>
        <v/>
      </c>
      <c r="C11" s="38">
        <f>_xlfn.TEXTJOIN(" • ",TRUE(),OFFSET('Data (paste export here)'!$A$1,1,SUMPRODUCT((--ISNUMBER(SEARCH("Q351.",'Data (paste export here)'!$A$1:$HZ$1)))*COLUMN('Data (paste export here)'!$A$1:$HZ$1))-1,10000,1))</f>
        <v/>
      </c>
    </row>
    <row r="12" ht="57" customHeight="1" s="21">
      <c r="A12" s="36" t="inlineStr">
        <is>
          <t>Where support lives — Hosting and maintenance</t>
        </is>
      </c>
      <c r="B12" s="37">
        <f>COUNTA(OFFSET('Data (paste export here)'!$A$1,1,SUMPRODUCT((--ISNUMBER(SEARCH("Q361.",'Data (paste export here)'!$A$1:$HZ$1)))*COLUMN('Data (paste export here)'!$A$1:$HZ$1))-1,10000,1))</f>
        <v/>
      </c>
      <c r="C12" s="38">
        <f>_xlfn.TEXTJOIN(" • ",TRUE(),OFFSET('Data (paste export here)'!$A$1,1,SUMPRODUCT((--ISNUMBER(SEARCH("Q361.",'Data (paste export here)'!$A$1:$HZ$1)))*COLUMN('Data (paste export here)'!$A$1:$HZ$1))-1,10000,1))</f>
        <v/>
      </c>
    </row>
    <row r="13" ht="57" customHeight="1" s="21">
      <c r="A13" s="36" t="inlineStr">
        <is>
          <t>Where support lives — Leadership and strategy</t>
        </is>
      </c>
      <c r="B13" s="37">
        <f>COUNTA(OFFSET('Data (paste export here)'!$A$1,1,SUMPRODUCT((--ISNUMBER(SEARCH("Q371.",'Data (paste export here)'!$A$1:$HZ$1)))*COLUMN('Data (paste export here)'!$A$1:$HZ$1))-1,10000,1))</f>
        <v/>
      </c>
      <c r="C13" s="38">
        <f>_xlfn.TEXTJOIN(" • ",TRUE(),OFFSET('Data (paste export here)'!$A$1,1,SUMPRODUCT((--ISNUMBER(SEARCH("Q371.",'Data (paste export here)'!$A$1:$HZ$1)))*COLUMN('Data (paste export here)'!$A$1:$HZ$1))-1,10000,1))</f>
        <v/>
      </c>
    </row>
    <row r="14" ht="45.75" customHeight="1" s="21">
      <c r="A14" s="36" t="inlineStr">
        <is>
          <t>Other support wanted — Legal, compliance &amp; risk</t>
        </is>
      </c>
      <c r="B14" s="37">
        <f>COUNTA(OFFSET('Data (paste export here)'!$A$1,1,SUMPRODUCT((--ISNUMBER(SEARCH("Q401.",'Data (paste export here)'!$A$1:$HZ$1)))*COLUMN('Data (paste export here)'!$A$1:$HZ$1))-1,10000,1))</f>
        <v/>
      </c>
      <c r="C14" s="38">
        <f>_xlfn.TEXTJOIN(" • ",TRUE(),OFFSET('Data (paste export here)'!$A$1,1,SUMPRODUCT((--ISNUMBER(SEARCH("Q401.",'Data (paste export here)'!$A$1:$HZ$1)))*COLUMN('Data (paste export here)'!$A$1:$HZ$1))-1,10000,1))</f>
        <v/>
      </c>
    </row>
    <row r="15" ht="45.75" customHeight="1" s="21">
      <c r="A15" s="36" t="inlineStr">
        <is>
          <t>Other support wanted — Selection, use &amp; procurement</t>
        </is>
      </c>
      <c r="B15" s="37">
        <f>COUNTA(OFFSET('Data (paste export here)'!$A$1,1,SUMPRODUCT((--ISNUMBER(SEARCH("Q411.",'Data (paste export here)'!$A$1:$HZ$1)))*COLUMN('Data (paste export here)'!$A$1:$HZ$1))-1,10000,1))</f>
        <v/>
      </c>
      <c r="C15" s="38">
        <f>_xlfn.TEXTJOIN(" • ",TRUE(),OFFSET('Data (paste export here)'!$A$1,1,SUMPRODUCT((--ISNUMBER(SEARCH("Q411.",'Data (paste export here)'!$A$1:$HZ$1)))*COLUMN('Data (paste export here)'!$A$1:$HZ$1))-1,10000,1))</f>
        <v/>
      </c>
    </row>
    <row r="16" ht="45.75" customHeight="1" s="21">
      <c r="A16" s="36" t="inlineStr">
        <is>
          <t>Other support wanted — Project creation &amp; maintenance</t>
        </is>
      </c>
      <c r="B16" s="37">
        <f>COUNTA(OFFSET('Data (paste export here)'!$A$1,1,SUMPRODUCT((--ISNUMBER(SEARCH("Q421.",'Data (paste export here)'!$A$1:$HZ$1)))*COLUMN('Data (paste export here)'!$A$1:$HZ$1))-1,10000,1))</f>
        <v/>
      </c>
      <c r="C16" s="38">
        <f>_xlfn.TEXTJOIN(" • ",TRUE(),OFFSET('Data (paste export here)'!$A$1,1,SUMPRODUCT((--ISNUMBER(SEARCH("Q421.",'Data (paste export here)'!$A$1:$HZ$1)))*COLUMN('Data (paste export here)'!$A$1:$HZ$1))-1,10000,1))</f>
        <v/>
      </c>
    </row>
    <row r="17" ht="57" customHeight="1" s="21">
      <c r="A17" s="36" t="inlineStr">
        <is>
          <t>Other support wanted — Community &amp; mentoring</t>
        </is>
      </c>
      <c r="B17" s="37">
        <f>COUNTA(OFFSET('Data (paste export here)'!$A$1,1,SUMPRODUCT((--ISNUMBER(SEARCH("Q431.",'Data (paste export here)'!$A$1:$HZ$1)))*COLUMN('Data (paste export here)'!$A$1:$HZ$1))-1,10000,1))</f>
        <v/>
      </c>
      <c r="C17" s="38">
        <f>_xlfn.TEXTJOIN(" • ",TRUE(),OFFSET('Data (paste export here)'!$A$1,1,SUMPRODUCT((--ISNUMBER(SEARCH("Q431.",'Data (paste export here)'!$A$1:$HZ$1)))*COLUMN('Data (paste export here)'!$A$1:$HZ$1))-1,10000,1))</f>
        <v/>
      </c>
    </row>
    <row r="18" ht="57" customHeight="1" s="21">
      <c r="A18" s="36" t="inlineStr">
        <is>
          <t>Other support wanted — Funding &amp; sustainability</t>
        </is>
      </c>
      <c r="B18" s="37">
        <f>COUNTA(OFFSET('Data (paste export here)'!$A$1,1,SUMPRODUCT((--ISNUMBER(SEARCH("Q441.",'Data (paste export here)'!$A$1:$HZ$1)))*COLUMN('Data (paste export here)'!$A$1:$HZ$1))-1,10000,1))</f>
        <v/>
      </c>
      <c r="C18" s="38">
        <f>_xlfn.TEXTJOIN(" • ",TRUE(),OFFSET('Data (paste export here)'!$A$1,1,SUMPRODUCT((--ISNUMBER(SEARCH("Q441.",'Data (paste export here)'!$A$1:$HZ$1)))*COLUMN('Data (paste export here)'!$A$1:$HZ$1))-1,10000,1))</f>
        <v/>
      </c>
    </row>
    <row r="19" ht="45.75" customHeight="1" s="21">
      <c r="A19" s="36" t="inlineStr">
        <is>
          <t>Other support wanted — Tools &amp; compute resources</t>
        </is>
      </c>
      <c r="B19" s="37">
        <f>COUNTA(OFFSET('Data (paste export here)'!$A$1,1,SUMPRODUCT((--ISNUMBER(SEARCH("Q451.",'Data (paste export here)'!$A$1:$HZ$1)))*COLUMN('Data (paste export here)'!$A$1:$HZ$1))-1,10000,1))</f>
        <v/>
      </c>
      <c r="C19" s="38">
        <f>_xlfn.TEXTJOIN(" • ",TRUE(),OFFSET('Data (paste export here)'!$A$1,1,SUMPRODUCT((--ISNUMBER(SEARCH("Q451.",'Data (paste export here)'!$A$1:$HZ$1)))*COLUMN('Data (paste export here)'!$A$1:$HZ$1))-1,10000,1))</f>
        <v/>
      </c>
    </row>
    <row r="20" ht="57" customHeight="1" s="21">
      <c r="A20" s="36" t="inlineStr">
        <is>
          <t>Other support wanted — Advocacy &amp; outreach</t>
        </is>
      </c>
      <c r="B20" s="37">
        <f>COUNTA(OFFSET('Data (paste export here)'!$A$1,1,SUMPRODUCT((--ISNUMBER(SEARCH("Q461.",'Data (paste export here)'!$A$1:$HZ$1)))*COLUMN('Data (paste export here)'!$A$1:$HZ$1))-1,10000,1))</f>
        <v/>
      </c>
      <c r="C20" s="38">
        <f>_xlfn.TEXTJOIN(" • ",TRUE(),OFFSET('Data (paste export here)'!$A$1,1,SUMPRODUCT((--ISNUMBER(SEARCH("Q461.",'Data (paste export here)'!$A$1:$HZ$1)))*COLUMN('Data (paste export here)'!$A$1:$HZ$1))-1,10000,1))</f>
        <v/>
      </c>
    </row>
    <row r="21" ht="157.5" customHeight="1" s="21">
      <c r="A21" s="36" t="inlineStr">
        <is>
          <t>Final feedback / anything missed</t>
        </is>
      </c>
      <c r="B21" s="37">
        <f>COUNTA(OFFSET('Data (paste export here)'!$A$1,1,SUMPRODUCT((--ISNUMBER(SEARCH("Q70.",'Data (paste export here)'!$A$1:$HZ$1)))*COLUMN('Data (paste export here)'!$A$1:$HZ$1))-1,10000,1))</f>
        <v/>
      </c>
      <c r="C21" s="38">
        <f>_xlfn.TEXTJOIN(" • ",TRUE(),OFFSET('Data (paste export here)'!$A$1,1,SUMPRODUCT((--ISNUMBER(SEARCH("Q70.",'Data (paste export here)'!$A$1:$HZ$1)))*COLUMN('Data (paste export here)'!$A$1:$HZ$1))-1,10000,1))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52" customWidth="1" style="20" min="1" max="1"/>
    <col width="10" customWidth="1" style="20" min="2" max="2"/>
    <col width="8" customWidth="1" style="20" min="3" max="3"/>
  </cols>
  <sheetData>
    <row r="1" ht="17.25" customHeight="1" s="21">
      <c r="A1" s="34" t="inlineStr">
        <is>
          <t>Respondents</t>
        </is>
      </c>
    </row>
    <row r="3" ht="15" customHeight="1" s="21">
      <c r="A3" s="39" t="inlineStr">
        <is>
          <t>Role (Q10)</t>
        </is>
      </c>
    </row>
    <row r="4" ht="15" customHeight="1" s="21">
      <c r="A4" s="29" t="inlineStr">
        <is>
          <t>Answer</t>
        </is>
      </c>
      <c r="B4" s="29" t="inlineStr">
        <is>
          <t>Count</t>
        </is>
      </c>
      <c r="C4" s="29" t="inlineStr">
        <is>
          <t>%</t>
        </is>
      </c>
    </row>
    <row r="5" ht="15" customHeight="1" s="21">
      <c r="A5" s="40" t="inlineStr">
        <is>
          <t>Leadership / Administration</t>
        </is>
      </c>
      <c r="B5" s="41">
        <f>COUNTIFS(OFFSET('Data (paste export here)'!$A$1,1,SUMPRODUCT((--ISNUMBER(SEARCH("Q10.",'Data (paste export here)'!$A$1:$HZ$1)))*COLUMN('Data (paste export here)'!$A$1:$HZ$1))-1,10000,1),$A5,OFFSET('Data (paste export here)'!$B$1,1,0,10000,1),"&lt;&gt;")</f>
        <v/>
      </c>
      <c r="C5" s="41">
        <f>IF(COUNTIF(OFFSET('Data (paste export here)'!$B$1,1,0,10000,1),"&lt;&gt;")=0,"",ROUND(B5/COUNTIF(OFFSET('Data (paste export here)'!$B$1,1,0,10000,1),"&lt;&gt;")*100,0))</f>
        <v/>
      </c>
    </row>
    <row r="6" ht="15" customHeight="1" s="21">
      <c r="A6" s="40" t="inlineStr">
        <is>
          <t>Faculty / Academic staff</t>
        </is>
      </c>
      <c r="B6" s="41">
        <f>COUNTIFS(OFFSET('Data (paste export here)'!$A$1,1,SUMPRODUCT((--ISNUMBER(SEARCH("Q10.",'Data (paste export here)'!$A$1:$HZ$1)))*COLUMN('Data (paste export here)'!$A$1:$HZ$1))-1,10000,1),$A6,OFFSET('Data (paste export here)'!$B$1,1,0,10000,1),"&lt;&gt;")</f>
        <v/>
      </c>
      <c r="C6" s="41">
        <f>IF(COUNTIF(OFFSET('Data (paste export here)'!$B$1,1,0,10000,1),"&lt;&gt;")=0,"",ROUND(B6/COUNTIF(OFFSET('Data (paste export here)'!$B$1,1,0,10000,1),"&lt;&gt;")*100,0))</f>
        <v/>
      </c>
    </row>
    <row r="7" ht="15" customHeight="1" s="21">
      <c r="A7" s="40" t="inlineStr">
        <is>
          <t>Research staff (postdocs, research software engineers)</t>
        </is>
      </c>
      <c r="B7" s="41">
        <f>COUNTIFS(OFFSET('Data (paste export here)'!$A$1,1,SUMPRODUCT((--ISNUMBER(SEARCH("Q10.",'Data (paste export here)'!$A$1:$HZ$1)))*COLUMN('Data (paste export here)'!$A$1:$HZ$1))-1,10000,1),$A7,OFFSET('Data (paste export here)'!$B$1,1,0,10000,1),"&lt;&gt;")</f>
        <v/>
      </c>
      <c r="C7" s="41">
        <f>IF(COUNTIF(OFFSET('Data (paste export here)'!$B$1,1,0,10000,1),"&lt;&gt;")=0,"",ROUND(B7/COUNTIF(OFFSET('Data (paste export here)'!$B$1,1,0,10000,1),"&lt;&gt;")*100,0))</f>
        <v/>
      </c>
    </row>
    <row r="8" ht="15" customHeight="1" s="21">
      <c r="A8" s="40" t="inlineStr">
        <is>
          <t>Professional / Support staff (including IT and library)</t>
        </is>
      </c>
      <c r="B8" s="41">
        <f>COUNTIFS(OFFSET('Data (paste export here)'!$A$1,1,SUMPRODUCT((--ISNUMBER(SEARCH("Q10.",'Data (paste export here)'!$A$1:$HZ$1)))*COLUMN('Data (paste export here)'!$A$1:$HZ$1))-1,10000,1),$A8,OFFSET('Data (paste export here)'!$B$1,1,0,10000,1),"&lt;&gt;")</f>
        <v/>
      </c>
      <c r="C8" s="41">
        <f>IF(COUNTIF(OFFSET('Data (paste export here)'!$B$1,1,0,10000,1),"&lt;&gt;")=0,"",ROUND(B8/COUNTIF(OFFSET('Data (paste export here)'!$B$1,1,0,10000,1),"&lt;&gt;")*100,0))</f>
        <v/>
      </c>
    </row>
    <row r="9" ht="15" customHeight="1" s="21">
      <c r="A9" s="40" t="inlineStr">
        <is>
          <t>Student (graduate or undergraduate)</t>
        </is>
      </c>
      <c r="B9" s="41">
        <f>COUNTIFS(OFFSET('Data (paste export here)'!$A$1,1,SUMPRODUCT((--ISNUMBER(SEARCH("Q10.",'Data (paste export here)'!$A$1:$HZ$1)))*COLUMN('Data (paste export here)'!$A$1:$HZ$1))-1,10000,1),$A9,OFFSET('Data (paste export here)'!$B$1,1,0,10000,1),"&lt;&gt;")</f>
        <v/>
      </c>
      <c r="C9" s="41">
        <f>IF(COUNTIF(OFFSET('Data (paste export here)'!$B$1,1,0,10000,1),"&lt;&gt;")=0,"",ROUND(B9/COUNTIF(OFFSET('Data (paste export here)'!$B$1,1,0,10000,1),"&lt;&gt;")*100,0))</f>
        <v/>
      </c>
    </row>
    <row r="10" ht="15" customHeight="1" s="21">
      <c r="A10" s="40" t="inlineStr">
        <is>
          <t>Other (please specify)</t>
        </is>
      </c>
      <c r="B10" s="41">
        <f>COUNTIFS(OFFSET('Data (paste export here)'!$A$1,1,SUMPRODUCT((--ISNUMBER(SEARCH("Q10.",'Data (paste export here)'!$A$1:$HZ$1)))*COLUMN('Data (paste export here)'!$A$1:$HZ$1))-1,10000,1),$A10,OFFSET('Data (paste export here)'!$B$1,1,0,10000,1),"&lt;&gt;")</f>
        <v/>
      </c>
      <c r="C10" s="41">
        <f>IF(COUNTIF(OFFSET('Data (paste export here)'!$B$1,1,0,10000,1),"&lt;&gt;")=0,"",ROUND(B10/COUNTIF(OFFSET('Data (paste export here)'!$B$1,1,0,10000,1),"&lt;&gt;")*100,0))</f>
        <v/>
      </c>
    </row>
    <row r="11">
      <c r="A11" s="40" t="inlineStr">
        <is>
          <t>Unmatched (role not listed above — update the labels in A5:A10 if you edited Q10)</t>
        </is>
      </c>
      <c r="B11" s="41">
        <f>COUNTIFS(OFFSET('Data (paste export here)'!$A$1,1,SUMPRODUCT((--ISNUMBER(SEARCH("Q10.",'Data (paste export here)'!$A$1:$HZ$1)))*COLUMN('Data (paste export here)'!$A$1:$HZ$1))-1,10000,1),"&lt;&gt;",OFFSET('Data (paste export here)'!$B$1,1,0,10000,1),"&lt;&gt;")-SUM(B5:B10)</f>
        <v/>
      </c>
      <c r="C11" s="41">
        <f>IF(COUNTIF(OFFSET('Data (paste export here)'!$B$1,1,0,10000,1),"&lt;&gt;")=0,"",ROUND(B11/COUNTIF(OFFSET('Data (paste export here)'!$B$1,1,0,10000,1),"&lt;&gt;")*100,0))</f>
        <v/>
      </c>
    </row>
    <row r="12" ht="15" customHeight="1" s="21">
      <c r="A12" s="39" t="inlineStr">
        <is>
          <t>Confidence (Q22)</t>
        </is>
      </c>
    </row>
    <row r="13" ht="15" customHeight="1" s="21">
      <c r="A13" s="29" t="inlineStr">
        <is>
          <t>Answer</t>
        </is>
      </c>
      <c r="B13" s="29" t="inlineStr">
        <is>
          <t>Count</t>
        </is>
      </c>
      <c r="C13" s="29" t="inlineStr">
        <is>
          <t>%</t>
        </is>
      </c>
    </row>
    <row r="14" ht="15" customHeight="1" s="21">
      <c r="A14" s="40" t="inlineStr">
        <is>
          <t>Not confident</t>
        </is>
      </c>
      <c r="B14" s="41">
        <f>COUNTIFS(OFFSET('Data (paste export here)'!$A$1,1,SUMPRODUCT((--ISNUMBER(SEARCH("Q22.",'Data (paste export here)'!$A$1:$HZ$1)))*COLUMN('Data (paste export here)'!$A$1:$HZ$1))-1,10000,1),$A14,OFFSET('Data (paste export here)'!$B$1,1,0,10000,1),"&lt;&gt;")</f>
        <v/>
      </c>
      <c r="C14" s="41">
        <f>IF(COUNTIF(OFFSET('Data (paste export here)'!$B$1,1,0,10000,1),"&lt;&gt;")=0,"",ROUND(B14/COUNTIF(OFFSET('Data (paste export here)'!$B$1,1,0,10000,1),"&lt;&gt;")*100,0))</f>
        <v/>
      </c>
    </row>
    <row r="15" ht="15" customHeight="1" s="21">
      <c r="A15" s="40" t="inlineStr">
        <is>
          <t>Somewhat confident</t>
        </is>
      </c>
      <c r="B15" s="41">
        <f>COUNTIFS(OFFSET('Data (paste export here)'!$A$1,1,SUMPRODUCT((--ISNUMBER(SEARCH("Q22.",'Data (paste export here)'!$A$1:$HZ$1)))*COLUMN('Data (paste export here)'!$A$1:$HZ$1))-1,10000,1),$A15,OFFSET('Data (paste export here)'!$B$1,1,0,10000,1),"&lt;&gt;")</f>
        <v/>
      </c>
      <c r="C15" s="41">
        <f>IF(COUNTIF(OFFSET('Data (paste export here)'!$B$1,1,0,10000,1),"&lt;&gt;")=0,"",ROUND(B15/COUNTIF(OFFSET('Data (paste export here)'!$B$1,1,0,10000,1),"&lt;&gt;")*100,0))</f>
        <v/>
      </c>
    </row>
    <row r="16" ht="15" customHeight="1" s="21">
      <c r="A16" s="40" t="inlineStr">
        <is>
          <t>Confident</t>
        </is>
      </c>
      <c r="B16" s="41">
        <f>COUNTIFS(OFFSET('Data (paste export here)'!$A$1,1,SUMPRODUCT((--ISNUMBER(SEARCH("Q22.",'Data (paste export here)'!$A$1:$HZ$1)))*COLUMN('Data (paste export here)'!$A$1:$HZ$1))-1,10000,1),$A16,OFFSET('Data (paste export here)'!$B$1,1,0,10000,1),"&lt;&gt;")</f>
        <v/>
      </c>
      <c r="C16" s="41">
        <f>IF(COUNTIF(OFFSET('Data (paste export here)'!$B$1,1,0,10000,1),"&lt;&gt;")=0,"",ROUND(B16/COUNTIF(OFFSET('Data (paste export here)'!$B$1,1,0,10000,1),"&lt;&gt;")*100,0))</f>
        <v/>
      </c>
    </row>
    <row r="17" ht="15" customHeight="1" s="21">
      <c r="A17" s="40" t="inlineStr">
        <is>
          <t>Very confident</t>
        </is>
      </c>
      <c r="B17" s="41">
        <f>COUNTIFS(OFFSET('Data (paste export here)'!$A$1,1,SUMPRODUCT((--ISNUMBER(SEARCH("Q22.",'Data (paste export here)'!$A$1:$HZ$1)))*COLUMN('Data (paste export here)'!$A$1:$HZ$1))-1,10000,1),$A17,OFFSET('Data (paste export here)'!$B$1,1,0,10000,1),"&lt;&gt;")</f>
        <v/>
      </c>
      <c r="C17" s="41">
        <f>IF(COUNTIF(OFFSET('Data (paste export here)'!$B$1,1,0,10000,1),"&lt;&gt;")=0,"",ROUND(B17/COUNTIF(OFFSET('Data (paste export here)'!$B$1,1,0,10000,1),"&lt;&gt;")*100,0))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58" customWidth="1" style="20" min="1" max="1"/>
    <col width="10" customWidth="1" style="20" min="2" max="2"/>
    <col width="16" customWidth="1" style="20" min="3" max="3"/>
  </cols>
  <sheetData>
    <row r="1" ht="17.25" customHeight="1" s="21">
      <c r="A1" s="34" t="inlineStr">
        <is>
          <t>Importance of open source</t>
        </is>
      </c>
    </row>
    <row r="3" ht="15" customHeight="1" s="21">
      <c r="A3" s="39" t="inlineStr">
        <is>
          <t>How important (Q20)</t>
        </is>
      </c>
    </row>
    <row r="4" ht="15" customHeight="1" s="21">
      <c r="A4" s="29" t="inlineStr">
        <is>
          <t>Answer</t>
        </is>
      </c>
      <c r="B4" s="29" t="inlineStr">
        <is>
          <t>Count</t>
        </is>
      </c>
      <c r="C4" s="29" t="inlineStr">
        <is>
          <t>%</t>
        </is>
      </c>
    </row>
    <row r="5" ht="15" customHeight="1" s="21">
      <c r="A5" s="40" t="inlineStr">
        <is>
          <t>Not important</t>
        </is>
      </c>
      <c r="B5" s="41">
        <f>COUNTIFS(OFFSET('Data (paste export here)'!$A$1,1,SUMPRODUCT((--ISNUMBER(SEARCH("Q20.",'Data (paste export here)'!$A$1:$HZ$1)))*COLUMN('Data (paste export here)'!$A$1:$HZ$1))-1,10000,1),$A5,OFFSET('Data (paste export here)'!$B$1,1,0,10000,1),"&lt;&gt;")</f>
        <v/>
      </c>
      <c r="C5" s="41">
        <f>IF(COUNTIF(OFFSET('Data (paste export here)'!$B$1,1,0,10000,1),"&lt;&gt;")=0,"",ROUND(B5/COUNTIF(OFFSET('Data (paste export here)'!$B$1,1,0,10000,1),"&lt;&gt;")*100,0))</f>
        <v/>
      </c>
    </row>
    <row r="6" ht="15" customHeight="1" s="21">
      <c r="A6" s="40" t="inlineStr">
        <is>
          <t>Somewhat important</t>
        </is>
      </c>
      <c r="B6" s="41">
        <f>COUNTIFS(OFFSET('Data (paste export here)'!$A$1,1,SUMPRODUCT((--ISNUMBER(SEARCH("Q20.",'Data (paste export here)'!$A$1:$HZ$1)))*COLUMN('Data (paste export here)'!$A$1:$HZ$1))-1,10000,1),$A6,OFFSET('Data (paste export here)'!$B$1,1,0,10000,1),"&lt;&gt;")</f>
        <v/>
      </c>
      <c r="C6" s="41">
        <f>IF(COUNTIF(OFFSET('Data (paste export here)'!$B$1,1,0,10000,1),"&lt;&gt;")=0,"",ROUND(B6/COUNTIF(OFFSET('Data (paste export here)'!$B$1,1,0,10000,1),"&lt;&gt;")*100,0))</f>
        <v/>
      </c>
    </row>
    <row r="7" ht="15" customHeight="1" s="21">
      <c r="A7" s="40" t="inlineStr">
        <is>
          <t>Important</t>
        </is>
      </c>
      <c r="B7" s="41">
        <f>COUNTIFS(OFFSET('Data (paste export here)'!$A$1,1,SUMPRODUCT((--ISNUMBER(SEARCH("Q20.",'Data (paste export here)'!$A$1:$HZ$1)))*COLUMN('Data (paste export here)'!$A$1:$HZ$1))-1,10000,1),$A7,OFFSET('Data (paste export here)'!$B$1,1,0,10000,1),"&lt;&gt;")</f>
        <v/>
      </c>
      <c r="C7" s="41">
        <f>IF(COUNTIF(OFFSET('Data (paste export here)'!$B$1,1,0,10000,1),"&lt;&gt;")=0,"",ROUND(B7/COUNTIF(OFFSET('Data (paste export here)'!$B$1,1,0,10000,1),"&lt;&gt;")*100,0))</f>
        <v/>
      </c>
    </row>
    <row r="8" ht="15" customHeight="1" s="21">
      <c r="A8" s="40" t="inlineStr">
        <is>
          <t>Critical</t>
        </is>
      </c>
      <c r="B8" s="41">
        <f>COUNTIFS(OFFSET('Data (paste export here)'!$A$1,1,SUMPRODUCT((--ISNUMBER(SEARCH("Q20.",'Data (paste export here)'!$A$1:$HZ$1)))*COLUMN('Data (paste export here)'!$A$1:$HZ$1))-1,10000,1),$A8,OFFSET('Data (paste export here)'!$B$1,1,0,10000,1),"&lt;&gt;")</f>
        <v/>
      </c>
      <c r="C8" s="41">
        <f>IF(COUNTIF(OFFSET('Data (paste export here)'!$B$1,1,0,10000,1),"&lt;&gt;")=0,"",ROUND(B8/COUNTIF(OFFSET('Data (paste export here)'!$B$1,1,0,10000,1),"&lt;&gt;")*100,0))</f>
        <v/>
      </c>
    </row>
    <row r="9" ht="15" customHeight="1" s="21">
      <c r="A9" s="40" t="inlineStr">
        <is>
          <t>I don't know</t>
        </is>
      </c>
      <c r="B9" s="41">
        <f>COUNTIFS(OFFSET('Data (paste export here)'!$A$1,1,SUMPRODUCT((--ISNUMBER(SEARCH("Q20.",'Data (paste export here)'!$A$1:$HZ$1)))*COLUMN('Data (paste export here)'!$A$1:$HZ$1))-1,10000,1),$A9,OFFSET('Data (paste export here)'!$B$1,1,0,10000,1),"&lt;&gt;")</f>
        <v/>
      </c>
      <c r="C9" s="41">
        <f>IF(COUNTIF(OFFSET('Data (paste export here)'!$B$1,1,0,10000,1),"&lt;&gt;")=0,"",ROUND(B9/COUNTIF(OFFSET('Data (paste export here)'!$B$1,1,0,10000,1),"&lt;&gt;")*100,0))</f>
        <v/>
      </c>
    </row>
    <row r="11" ht="15" customHeight="1" s="21">
      <c r="A11" s="39" t="inlineStr">
        <is>
          <t>Why it matters (Q21, tick all that apply)</t>
        </is>
      </c>
    </row>
    <row r="12" ht="26.25" customHeight="1" s="21">
      <c r="A12" s="29" t="inlineStr">
        <is>
          <t>Reason</t>
        </is>
      </c>
      <c r="B12" s="29" t="inlineStr">
        <is>
          <t>Count</t>
        </is>
      </c>
      <c r="C12" s="29" t="inlineStr">
        <is>
          <t>% of respondents</t>
        </is>
      </c>
    </row>
    <row r="13" ht="15" customHeight="1" s="21">
      <c r="A13" s="40" t="inlineStr">
        <is>
          <t>Reduces vendor lock-in</t>
        </is>
      </c>
      <c r="B13" s="41">
        <f>COUNTIFS(OFFSET('Data (paste export here)'!$A$1,1,SUMPRODUCT((--ISNUMBER(SEARCH("Q21[SQ001]",'Data (paste export here)'!$A$1:$HZ$1)))*COLUMN('Data (paste export here)'!$A$1:$HZ$1))-1,10000,1),"Yes",OFFSET('Data (paste export here)'!$B$1,1,0,10000,1),"&lt;&gt;")</f>
        <v/>
      </c>
      <c r="C13" s="41">
        <f>IF(COUNTIF(OFFSET('Data (paste export here)'!$B$1,1,0,10000,1),"&lt;&gt;")=0,"",ROUND(B13/COUNTIF(OFFSET('Data (paste export here)'!$B$1,1,0,10000,1),"&lt;&gt;")*100,0))</f>
        <v/>
      </c>
    </row>
    <row r="14" ht="15" customHeight="1" s="21">
      <c r="A14" s="40" t="inlineStr">
        <is>
          <t>Lowers costs</t>
        </is>
      </c>
      <c r="B14" s="41">
        <f>COUNTIFS(OFFSET('Data (paste export here)'!$A$1,1,SUMPRODUCT((--ISNUMBER(SEARCH("Q21[SQ002]",'Data (paste export here)'!$A$1:$HZ$1)))*COLUMN('Data (paste export here)'!$A$1:$HZ$1))-1,10000,1),"Yes",OFFSET('Data (paste export here)'!$B$1,1,0,10000,1),"&lt;&gt;")</f>
        <v/>
      </c>
      <c r="C14" s="41">
        <f>IF(COUNTIF(OFFSET('Data (paste export here)'!$B$1,1,0,10000,1),"&lt;&gt;")=0,"",ROUND(B14/COUNTIF(OFFSET('Data (paste export here)'!$B$1,1,0,10000,1),"&lt;&gt;")*100,0))</f>
        <v/>
      </c>
    </row>
    <row r="15" ht="15" customHeight="1" s="21">
      <c r="A15" s="40" t="inlineStr">
        <is>
          <t>Enables collaboration across the research and education community</t>
        </is>
      </c>
      <c r="B15" s="41">
        <f>COUNTIFS(OFFSET('Data (paste export here)'!$A$1,1,SUMPRODUCT((--ISNUMBER(SEARCH("Q21[SQ003]",'Data (paste export here)'!$A$1:$HZ$1)))*COLUMN('Data (paste export here)'!$A$1:$HZ$1))-1,10000,1),"Yes",OFFSET('Data (paste export here)'!$B$1,1,0,10000,1),"&lt;&gt;")</f>
        <v/>
      </c>
      <c r="C15" s="41">
        <f>IF(COUNTIF(OFFSET('Data (paste export here)'!$B$1,1,0,10000,1),"&lt;&gt;")=0,"",ROUND(B15/COUNTIF(OFFSET('Data (paste export here)'!$B$1,1,0,10000,1),"&lt;&gt;")*100,0))</f>
        <v/>
      </c>
    </row>
    <row r="16" ht="15" customHeight="1" s="21">
      <c r="A16" s="40" t="inlineStr">
        <is>
          <t>Supports transparency and trust</t>
        </is>
      </c>
      <c r="B16" s="41">
        <f>COUNTIFS(OFFSET('Data (paste export here)'!$A$1,1,SUMPRODUCT((--ISNUMBER(SEARCH("Q21[SQ004]",'Data (paste export here)'!$A$1:$HZ$1)))*COLUMN('Data (paste export here)'!$A$1:$HZ$1))-1,10000,1),"Yes",OFFSET('Data (paste export here)'!$B$1,1,0,10000,1),"&lt;&gt;")</f>
        <v/>
      </c>
      <c r="C16" s="41">
        <f>IF(COUNTIF(OFFSET('Data (paste export here)'!$B$1,1,0,10000,1),"&lt;&gt;")=0,"",ROUND(B16/COUNTIF(OFFSET('Data (paste export here)'!$B$1,1,0,10000,1),"&lt;&gt;")*100,0))</f>
        <v/>
      </c>
    </row>
    <row r="17" ht="15" customHeight="1" s="21">
      <c r="A17" s="40" t="inlineStr">
        <is>
          <t>Accelerates innovation</t>
        </is>
      </c>
      <c r="B17" s="41">
        <f>COUNTIFS(OFFSET('Data (paste export here)'!$A$1,1,SUMPRODUCT((--ISNUMBER(SEARCH("Q21[SQ005]",'Data (paste export here)'!$A$1:$HZ$1)))*COLUMN('Data (paste export here)'!$A$1:$HZ$1))-1,10000,1),"Yes",OFFSET('Data (paste export here)'!$B$1,1,0,10000,1),"&lt;&gt;")</f>
        <v/>
      </c>
      <c r="C17" s="41">
        <f>IF(COUNTIF(OFFSET('Data (paste export here)'!$B$1,1,0,10000,1),"&lt;&gt;")=0,"",ROUND(B17/COUNTIF(OFFSET('Data (paste export here)'!$B$1,1,0,10000,1),"&lt;&gt;")*100,0))</f>
        <v/>
      </c>
    </row>
    <row r="18" ht="15" customHeight="1" s="21">
      <c r="A18" s="40" t="inlineStr">
        <is>
          <t>Fulfils funder or regulatory requirements</t>
        </is>
      </c>
      <c r="B18" s="41">
        <f>COUNTIFS(OFFSET('Data (paste export here)'!$A$1,1,SUMPRODUCT((--ISNUMBER(SEARCH("Q21[SQ006]",'Data (paste export here)'!$A$1:$HZ$1)))*COLUMN('Data (paste export here)'!$A$1:$HZ$1))-1,10000,1),"Yes",OFFSET('Data (paste export here)'!$B$1,1,0,10000,1),"&lt;&gt;")</f>
        <v/>
      </c>
      <c r="C18" s="41">
        <f>IF(COUNTIF(OFFSET('Data (paste export here)'!$B$1,1,0,10000,1),"&lt;&gt;")=0,"",ROUND(B18/COUNTIF(OFFSET('Data (paste export here)'!$B$1,1,0,10000,1),"&lt;&gt;")*100,0))</f>
        <v/>
      </c>
    </row>
    <row r="19" ht="15" customHeight="1" s="21">
      <c r="A19" s="40" t="inlineStr">
        <is>
          <t>Aligns with digital-sovereignty or institutional-autonomy goals</t>
        </is>
      </c>
      <c r="B19" s="41">
        <f>COUNTIFS(OFFSET('Data (paste export here)'!$A$1,1,SUMPRODUCT((--ISNUMBER(SEARCH("Q21[SQ007]",'Data (paste export here)'!$A$1:$HZ$1)))*COLUMN('Data (paste export here)'!$A$1:$HZ$1))-1,10000,1),"Yes",OFFSET('Data (paste export here)'!$B$1,1,0,10000,1),"&lt;&gt;")</f>
        <v/>
      </c>
      <c r="C19" s="41">
        <f>IF(COUNTIF(OFFSET('Data (paste export here)'!$B$1,1,0,10000,1),"&lt;&gt;")=0,"",ROUND(B19/COUNTIF(OFFSET('Data (paste export here)'!$B$1,1,0,10000,1),"&lt;&gt;")*100,0))</f>
        <v/>
      </c>
    </row>
    <row r="20" ht="15" customHeight="1" s="21">
      <c r="A20" s="40" t="inlineStr">
        <is>
          <t>None — open source is not important to my work</t>
        </is>
      </c>
      <c r="B20" s="41">
        <f>COUNTIFS(OFFSET('Data (paste export here)'!$A$1,1,SUMPRODUCT((--ISNUMBER(SEARCH("Q21[SQ008]",'Data (paste export here)'!$A$1:$HZ$1)))*COLUMN('Data (paste export here)'!$A$1:$HZ$1))-1,10000,1),"Yes",OFFSET('Data (paste export here)'!$B$1,1,0,10000,1),"&lt;&gt;")</f>
        <v/>
      </c>
      <c r="C20" s="41">
        <f>IF(COUNTIF(OFFSET('Data (paste export here)'!$B$1,1,0,10000,1),"&lt;&gt;")=0,"",ROUND(B20/COUNTIF(OFFSET('Data (paste export here)'!$B$1,1,0,10000,1),"&lt;&gt;")*100,0))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B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0" customWidth="1" style="20" min="1" max="1"/>
    <col width="14" customWidth="1" style="20" min="2" max="2"/>
  </cols>
  <sheetData>
    <row r="1" ht="17.25" customHeight="1" s="21">
      <c r="A1" s="34" t="inlineStr">
        <is>
          <t>Maturity by area (Section 3)</t>
        </is>
      </c>
    </row>
    <row r="2" ht="15" customHeight="1" s="21">
      <c r="A2" s="35" t="inlineStr">
        <is>
          <t>Average % of respondents reporting the practices in each area as in place.</t>
        </is>
      </c>
    </row>
    <row r="4" ht="15" customHeight="1" s="21">
      <c r="A4" s="29" t="inlineStr">
        <is>
          <t>Area</t>
        </is>
      </c>
      <c r="B4" s="29" t="inlineStr">
        <is>
          <t>Maturity %</t>
        </is>
      </c>
    </row>
    <row r="5" ht="15" customHeight="1" s="21">
      <c r="A5" s="40" t="inlineStr">
        <is>
          <t>Policy &amp; OSPO</t>
        </is>
      </c>
      <c r="B5" s="41">
        <f>IFERROR(ROUND(AVERAGEIFS('Item results (auto)'!$F$2:$F$79,'Item results (auto)'!$K$2:$K$79,"Q300",'Item results (auto)'!$C$2:$C$79,"Maturity"),0),"")</f>
        <v/>
      </c>
    </row>
    <row r="6" ht="15" customHeight="1" s="21">
      <c r="A6" s="40" t="inlineStr">
        <is>
          <t>Compliance and risk</t>
        </is>
      </c>
      <c r="B6" s="41">
        <f>IFERROR(ROUND(AVERAGEIFS('Item results (auto)'!$F$2:$F$79,'Item results (auto)'!$K$2:$K$79,"Q310",'Item results (auto)'!$C$2:$C$79,"Maturity"),0),"")</f>
        <v/>
      </c>
    </row>
    <row r="7" ht="15" customHeight="1" s="21">
      <c r="A7" s="40" t="inlineStr">
        <is>
          <t>Security &amp; supply chain</t>
        </is>
      </c>
      <c r="B7" s="41">
        <f>IFERROR(ROUND(AVERAGEIFS('Item results (auto)'!$F$2:$F$79,'Item results (auto)'!$K$2:$K$79,"Q320",'Item results (auto)'!$C$2:$C$79,"Maturity"),0),"")</f>
        <v/>
      </c>
    </row>
    <row r="8" ht="15" customHeight="1" s="21">
      <c r="A8" s="40" t="inlineStr">
        <is>
          <t>Selection, use &amp; procurement</t>
        </is>
      </c>
      <c r="B8" s="41">
        <f>IFERROR(ROUND(AVERAGEIFS('Item results (auto)'!$F$2:$F$79,'Item results (auto)'!$K$2:$K$79,"Q330",'Item results (auto)'!$C$2:$C$79,"Maturity"),0),"")</f>
        <v/>
      </c>
    </row>
    <row r="9" ht="15" customHeight="1" s="21">
      <c r="A9" s="40" t="inlineStr">
        <is>
          <t>Open source contribution</t>
        </is>
      </c>
      <c r="B9" s="41">
        <f>IFERROR(ROUND(AVERAGEIFS('Item results (auto)'!$F$2:$F$79,'Item results (auto)'!$K$2:$K$79,"Q340",'Item results (auto)'!$C$2:$C$79,"Maturity"),0),"")</f>
        <v/>
      </c>
    </row>
    <row r="10" ht="15" customHeight="1" s="21">
      <c r="A10" s="40" t="inlineStr">
        <is>
          <t>Community and outreach</t>
        </is>
      </c>
      <c r="B10" s="41">
        <f>IFERROR(ROUND(AVERAGEIFS('Item results (auto)'!$F$2:$F$79,'Item results (auto)'!$K$2:$K$79,"Q350",'Item results (auto)'!$C$2:$C$79,"Maturity"),0),"")</f>
        <v/>
      </c>
    </row>
    <row r="11" ht="15" customHeight="1" s="21">
      <c r="A11" s="40" t="inlineStr">
        <is>
          <t>Hosting and maintenance</t>
        </is>
      </c>
      <c r="B11" s="41">
        <f>IFERROR(ROUND(AVERAGEIFS('Item results (auto)'!$F$2:$F$79,'Item results (auto)'!$K$2:$K$79,"Q360",'Item results (auto)'!$C$2:$C$79,"Maturity"),0),"")</f>
        <v/>
      </c>
    </row>
    <row r="12" ht="15" customHeight="1" s="21">
      <c r="A12" s="40" t="inlineStr">
        <is>
          <t>Leadership and strategy</t>
        </is>
      </c>
      <c r="B12" s="41">
        <f>IFERROR(ROUND(AVERAGEIFS('Item results (auto)'!$F$2:$F$79,'Item results (auto)'!$K$2:$K$79,"Q370",'Item results (auto)'!$C$2:$C$79,"Maturity"),0),"")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60" customWidth="1" style="20" min="1" max="1"/>
    <col width="10" customWidth="1" style="20" min="2" max="2"/>
    <col width="16" customWidth="1" style="20" min="3" max="3"/>
  </cols>
  <sheetData>
    <row r="1" ht="17.25" customHeight="1" s="21">
      <c r="A1" s="34" t="inlineStr">
        <is>
          <t>Community experience &amp; roles (Section 5)</t>
        </is>
      </c>
    </row>
    <row r="2" ht="15" customHeight="1" s="21">
      <c r="A2" s="35" t="inlineStr">
        <is>
          <t>Optional section. % is of all respondents.</t>
        </is>
      </c>
    </row>
    <row r="4" ht="15" customHeight="1" s="21">
      <c r="A4" s="39" t="inlineStr">
        <is>
          <t>Ways people participate (Q52)</t>
        </is>
      </c>
    </row>
    <row r="5" ht="26.25" customHeight="1" s="21">
      <c r="A5" s="29" t="inlineStr">
        <is>
          <t>Activity</t>
        </is>
      </c>
      <c r="B5" s="29" t="inlineStr">
        <is>
          <t>Count</t>
        </is>
      </c>
      <c r="C5" s="29" t="inlineStr">
        <is>
          <t>% of respondents</t>
        </is>
      </c>
    </row>
    <row r="6" ht="15" customHeight="1" s="21">
      <c r="A6" s="40" t="inlineStr">
        <is>
          <t>Follow updates and discussions of open source projects</t>
        </is>
      </c>
      <c r="B6" s="41">
        <f>COUNTIFS(OFFSET('Data (paste export here)'!$A$1,1,SUMPRODUCT((--ISNUMBER(SEARCH("Q52[SQ001]",'Data (paste export here)'!$A$1:$HZ$1)))*COLUMN('Data (paste export here)'!$A$1:$HZ$1))-1,10000,1),"Yes",OFFSET('Data (paste export here)'!$B$1,1,0,10000,1),"&lt;&gt;")</f>
        <v/>
      </c>
      <c r="C6" s="41">
        <f>IF(COUNTIF(OFFSET('Data (paste export here)'!$B$1,1,0,10000,1),"&lt;&gt;")=0,"",ROUND(B6/COUNTIF(OFFSET('Data (paste export here)'!$B$1,1,0,10000,1),"&lt;&gt;")*100,0))</f>
        <v/>
      </c>
    </row>
    <row r="7" ht="15" customHeight="1" s="21">
      <c r="A7" s="40" t="inlineStr">
        <is>
          <t>Use open source applications</t>
        </is>
      </c>
      <c r="B7" s="41">
        <f>COUNTIFS(OFFSET('Data (paste export here)'!$A$1,1,SUMPRODUCT((--ISNUMBER(SEARCH("Q52[SQ002]",'Data (paste export here)'!$A$1:$HZ$1)))*COLUMN('Data (paste export here)'!$A$1:$HZ$1))-1,10000,1),"Yes",OFFSET('Data (paste export here)'!$B$1,1,0,10000,1),"&lt;&gt;")</f>
        <v/>
      </c>
      <c r="C7" s="41">
        <f>IF(COUNTIF(OFFSET('Data (paste export here)'!$B$1,1,0,10000,1),"&lt;&gt;")=0,"",ROUND(B7/COUNTIF(OFFSET('Data (paste export here)'!$B$1,1,0,10000,1),"&lt;&gt;")*100,0))</f>
        <v/>
      </c>
    </row>
    <row r="8" ht="15" customHeight="1" s="21">
      <c r="A8" s="40" t="inlineStr">
        <is>
          <t>Use open source dependencies in other projects</t>
        </is>
      </c>
      <c r="B8" s="41">
        <f>COUNTIFS(OFFSET('Data (paste export here)'!$A$1,1,SUMPRODUCT((--ISNUMBER(SEARCH("Q52[SQ003]",'Data (paste export here)'!$A$1:$HZ$1)))*COLUMN('Data (paste export here)'!$A$1:$HZ$1))-1,10000,1),"Yes",OFFSET('Data (paste export here)'!$B$1,1,0,10000,1),"&lt;&gt;")</f>
        <v/>
      </c>
      <c r="C8" s="41">
        <f>IF(COUNTIF(OFFSET('Data (paste export here)'!$B$1,1,0,10000,1),"&lt;&gt;")=0,"",ROUND(B8/COUNTIF(OFFSET('Data (paste export here)'!$B$1,1,0,10000,1),"&lt;&gt;")*100,0))</f>
        <v/>
      </c>
    </row>
    <row r="9" ht="15" customHeight="1" s="21">
      <c r="A9" s="40" t="inlineStr">
        <is>
          <t>Participate in open source development (bugs, code, docs, maintenance, community)</t>
        </is>
      </c>
      <c r="B9" s="41">
        <f>COUNTIFS(OFFSET('Data (paste export here)'!$A$1,1,SUMPRODUCT((--ISNUMBER(SEARCH("Q52[SQ004]",'Data (paste export here)'!$A$1:$HZ$1)))*COLUMN('Data (paste export here)'!$A$1:$HZ$1))-1,10000,1),"Yes",OFFSET('Data (paste export here)'!$B$1,1,0,10000,1),"&lt;&gt;")</f>
        <v/>
      </c>
      <c r="C9" s="41">
        <f>IF(COUNTIF(OFFSET('Data (paste export here)'!$B$1,1,0,10000,1),"&lt;&gt;")=0,"",ROUND(B9/COUNTIF(OFFSET('Data (paste export here)'!$B$1,1,0,10000,1),"&lt;&gt;")*100,0))</f>
        <v/>
      </c>
    </row>
    <row r="10" ht="15" customHeight="1" s="21">
      <c r="A10" s="40" t="inlineStr">
        <is>
          <t>None of the above</t>
        </is>
      </c>
      <c r="B10" s="41">
        <f>COUNTIFS(OFFSET('Data (paste export here)'!$A$1,1,SUMPRODUCT((--ISNUMBER(SEARCH("Q52[SQ005]",'Data (paste export here)'!$A$1:$HZ$1)))*COLUMN('Data (paste export here)'!$A$1:$HZ$1))-1,10000,1),"Yes",OFFSET('Data (paste export here)'!$B$1,1,0,10000,1),"&lt;&gt;")</f>
        <v/>
      </c>
      <c r="C10" s="41">
        <f>IF(COUNTIF(OFFSET('Data (paste export here)'!$B$1,1,0,10000,1),"&lt;&gt;")=0,"",ROUND(B10/COUNTIF(OFFSET('Data (paste export here)'!$B$1,1,0,10000,1),"&lt;&gt;")*100,0))</f>
        <v/>
      </c>
    </row>
    <row r="12" ht="15" customHeight="1" s="21">
      <c r="A12" s="39" t="inlineStr">
        <is>
          <t>Contributor roles ever held (Q54)</t>
        </is>
      </c>
    </row>
    <row r="13" ht="26.25" customHeight="1" s="21">
      <c r="A13" s="29" t="inlineStr">
        <is>
          <t>Role</t>
        </is>
      </c>
      <c r="B13" s="29" t="inlineStr">
        <is>
          <t>Count</t>
        </is>
      </c>
      <c r="C13" s="29" t="inlineStr">
        <is>
          <t>% of respondents</t>
        </is>
      </c>
    </row>
    <row r="14" ht="15" customHeight="1" s="21">
      <c r="A14" s="40" t="inlineStr">
        <is>
          <t>Maintainer</t>
        </is>
      </c>
      <c r="B14" s="41">
        <f>COUNTIFS(OFFSET('Data (paste export here)'!$A$1,1,SUMPRODUCT((--ISNUMBER(SEARCH("Q54[SQ001]",'Data (paste export here)'!$A$1:$HZ$1)))*COLUMN('Data (paste export here)'!$A$1:$HZ$1))-1,10000,1),"Yes",OFFSET('Data (paste export here)'!$B$1,1,0,10000,1),"&lt;&gt;")</f>
        <v/>
      </c>
      <c r="C14" s="41">
        <f>IF(COUNTIF(OFFSET('Data (paste export here)'!$B$1,1,0,10000,1),"&lt;&gt;")=0,"",ROUND(B14/COUNTIF(OFFSET('Data (paste export here)'!$B$1,1,0,10000,1),"&lt;&gt;")*100,0))</f>
        <v/>
      </c>
    </row>
    <row r="15" ht="15" customHeight="1" s="21">
      <c r="A15" s="40" t="inlineStr">
        <is>
          <t>Contributor</t>
        </is>
      </c>
      <c r="B15" s="41">
        <f>COUNTIFS(OFFSET('Data (paste export here)'!$A$1,1,SUMPRODUCT((--ISNUMBER(SEARCH("Q54[SQ002]",'Data (paste export here)'!$A$1:$HZ$1)))*COLUMN('Data (paste export here)'!$A$1:$HZ$1))-1,10000,1),"Yes",OFFSET('Data (paste export here)'!$B$1,1,0,10000,1),"&lt;&gt;")</f>
        <v/>
      </c>
      <c r="C15" s="41">
        <f>IF(COUNTIF(OFFSET('Data (paste export here)'!$B$1,1,0,10000,1),"&lt;&gt;")=0,"",ROUND(B15/COUNTIF(OFFSET('Data (paste export here)'!$B$1,1,0,10000,1),"&lt;&gt;")*100,0))</f>
        <v/>
      </c>
    </row>
    <row r="16" ht="15" customHeight="1" s="21">
      <c r="A16" s="40" t="inlineStr">
        <is>
          <t>Bug / issue reporter</t>
        </is>
      </c>
      <c r="B16" s="41">
        <f>COUNTIFS(OFFSET('Data (paste export here)'!$A$1,1,SUMPRODUCT((--ISNUMBER(SEARCH("Q54[SQ003]",'Data (paste export here)'!$A$1:$HZ$1)))*COLUMN('Data (paste export here)'!$A$1:$HZ$1))-1,10000,1),"Yes",OFFSET('Data (paste export here)'!$B$1,1,0,10000,1),"&lt;&gt;")</f>
        <v/>
      </c>
      <c r="C16" s="41">
        <f>IF(COUNTIF(OFFSET('Data (paste export here)'!$B$1,1,0,10000,1),"&lt;&gt;")=0,"",ROUND(B16/COUNTIF(OFFSET('Data (paste export here)'!$B$1,1,0,10000,1),"&lt;&gt;")*100,0))</f>
        <v/>
      </c>
    </row>
    <row r="17" ht="15" customHeight="1" s="21">
      <c r="A17" s="40" t="inlineStr">
        <is>
          <t>Supervisor</t>
        </is>
      </c>
      <c r="B17" s="41">
        <f>COUNTIFS(OFFSET('Data (paste export here)'!$A$1,1,SUMPRODUCT((--ISNUMBER(SEARCH("Q54[SQ004]",'Data (paste export here)'!$A$1:$HZ$1)))*COLUMN('Data (paste export here)'!$A$1:$HZ$1))-1,10000,1),"Yes",OFFSET('Data (paste export here)'!$B$1,1,0,10000,1),"&lt;&gt;")</f>
        <v/>
      </c>
      <c r="C17" s="41">
        <f>IF(COUNTIF(OFFSET('Data (paste export here)'!$B$1,1,0,10000,1),"&lt;&gt;")=0,"",ROUND(B17/COUNTIF(OFFSET('Data (paste export here)'!$B$1,1,0,10000,1),"&lt;&gt;")*100,0))</f>
        <v/>
      </c>
    </row>
    <row r="18" ht="15" customHeight="1" s="21">
      <c r="A18" s="40" t="inlineStr">
        <is>
          <t>IT / systems administrator</t>
        </is>
      </c>
      <c r="B18" s="41">
        <f>COUNTIFS(OFFSET('Data (paste export here)'!$A$1,1,SUMPRODUCT((--ISNUMBER(SEARCH("Q54[SQ005]",'Data (paste export here)'!$A$1:$HZ$1)))*COLUMN('Data (paste export here)'!$A$1:$HZ$1))-1,10000,1),"Yes",OFFSET('Data (paste export here)'!$B$1,1,0,10000,1),"&lt;&gt;")</f>
        <v/>
      </c>
      <c r="C18" s="41">
        <f>IF(COUNTIF(OFFSET('Data (paste export here)'!$B$1,1,0,10000,1),"&lt;&gt;")=0,"",ROUND(B18/COUNTIF(OFFSET('Data (paste export here)'!$B$1,1,0,10000,1),"&lt;&gt;")*100,0))</f>
        <v/>
      </c>
    </row>
    <row r="19" ht="15" customHeight="1" s="21">
      <c r="A19" s="40" t="inlineStr">
        <is>
          <t>UI / UX designer</t>
        </is>
      </c>
      <c r="B19" s="41">
        <f>COUNTIFS(OFFSET('Data (paste export here)'!$A$1,1,SUMPRODUCT((--ISNUMBER(SEARCH("Q54[SQ006]",'Data (paste export here)'!$A$1:$HZ$1)))*COLUMN('Data (paste export here)'!$A$1:$HZ$1))-1,10000,1),"Yes",OFFSET('Data (paste export here)'!$B$1,1,0,10000,1),"&lt;&gt;")</f>
        <v/>
      </c>
      <c r="C19" s="41">
        <f>IF(COUNTIF(OFFSET('Data (paste export here)'!$B$1,1,0,10000,1),"&lt;&gt;")=0,"",ROUND(B19/COUNTIF(OFFSET('Data (paste export here)'!$B$1,1,0,10000,1),"&lt;&gt;")*100,0))</f>
        <v/>
      </c>
    </row>
    <row r="20" ht="15" customHeight="1" s="21">
      <c r="A20" s="40" t="inlineStr">
        <is>
          <t>Community manager</t>
        </is>
      </c>
      <c r="B20" s="41">
        <f>COUNTIFS(OFFSET('Data (paste export here)'!$A$1,1,SUMPRODUCT((--ISNUMBER(SEARCH("Q54[SQ007]",'Data (paste export here)'!$A$1:$HZ$1)))*COLUMN('Data (paste export here)'!$A$1:$HZ$1))-1,10000,1),"Yes",OFFSET('Data (paste export here)'!$B$1,1,0,10000,1),"&lt;&gt;")</f>
        <v/>
      </c>
      <c r="C20" s="41">
        <f>IF(COUNTIF(OFFSET('Data (paste export here)'!$B$1,1,0,10000,1),"&lt;&gt;")=0,"",ROUND(B20/COUNTIF(OFFSET('Data (paste export here)'!$B$1,1,0,10000,1),"&lt;&gt;")*100,0))</f>
        <v/>
      </c>
    </row>
    <row r="21" ht="15" customHeight="1" s="21">
      <c r="A21" s="40" t="inlineStr">
        <is>
          <t>Technical support</t>
        </is>
      </c>
      <c r="B21" s="41">
        <f>COUNTIFS(OFFSET('Data (paste export here)'!$A$1,1,SUMPRODUCT((--ISNUMBER(SEARCH("Q54[SQ008]",'Data (paste export here)'!$A$1:$HZ$1)))*COLUMN('Data (paste export here)'!$A$1:$HZ$1))-1,10000,1),"Yes",OFFSET('Data (paste export here)'!$B$1,1,0,10000,1),"&lt;&gt;")</f>
        <v/>
      </c>
      <c r="C21" s="41">
        <f>IF(COUNTIF(OFFSET('Data (paste export here)'!$B$1,1,0,10000,1),"&lt;&gt;")=0,"",ROUND(B21/COUNTIF(OFFSET('Data (paste export here)'!$B$1,1,0,10000,1),"&lt;&gt;")*100,0))</f>
        <v/>
      </c>
    </row>
    <row r="22" ht="15" customHeight="1" s="21">
      <c r="A22" s="40" t="inlineStr">
        <is>
          <t>Educator</t>
        </is>
      </c>
      <c r="B22" s="41">
        <f>COUNTIFS(OFFSET('Data (paste export here)'!$A$1,1,SUMPRODUCT((--ISNUMBER(SEARCH("Q54[SQ009]",'Data (paste export here)'!$A$1:$HZ$1)))*COLUMN('Data (paste export here)'!$A$1:$HZ$1))-1,10000,1),"Yes",OFFSET('Data (paste export here)'!$B$1,1,0,10000,1),"&lt;&gt;")</f>
        <v/>
      </c>
      <c r="C22" s="41">
        <f>IF(COUNTIF(OFFSET('Data (paste export here)'!$B$1,1,0,10000,1),"&lt;&gt;")=0,"",ROUND(B22/COUNTIF(OFFSET('Data (paste export here)'!$B$1,1,0,10000,1),"&lt;&gt;")*100,0))</f>
        <v/>
      </c>
    </row>
    <row r="23" ht="15" customHeight="1" s="21">
      <c r="A23" s="40" t="inlineStr">
        <is>
          <t>None of the above</t>
        </is>
      </c>
      <c r="B23" s="41">
        <f>COUNTIFS(OFFSET('Data (paste export here)'!$A$1,1,SUMPRODUCT((--ISNUMBER(SEARCH("Q54[SQ010]",'Data (paste export here)'!$A$1:$HZ$1)))*COLUMN('Data (paste export here)'!$A$1:$HZ$1))-1,10000,1),"Yes",OFFSET('Data (paste export here)'!$B$1,1,0,10000,1),"&lt;&gt;")</f>
        <v/>
      </c>
      <c r="C23" s="41">
        <f>IF(COUNTIF(OFFSET('Data (paste export here)'!$B$1,1,0,10000,1),"&lt;&gt;")=0,"",ROUND(B23/COUNTIF(OFFSET('Data (paste export here)'!$B$1,1,0,10000,1),"&lt;&gt;")*100,0))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2026-06-16T15:07:48Z</dcterms:created>
  <dcterms:modified xmlns:dcterms="http://purl.org/dc/terms/" xmlns:xsi="http://www.w3.org/2001/XMLSchema-instance" xsi:type="dcterms:W3CDTF">2026-06-17T17:40:27Z</dcterms:modified>
  <cp:revision>0</cp:revision>
</cp:coreProperties>
</file>